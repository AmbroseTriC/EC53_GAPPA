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zctpj17_ucl_ac_uk/Documents/ECON0053 Economics of Tax Policy/Grp Project/Quantitative/Analysis/v4 Output Excel/"/>
    </mc:Choice>
  </mc:AlternateContent>
  <xr:revisionPtr revIDLastSave="30" documentId="8_{EAFFCD8C-BA14-EB47-B99A-708345443F9D}" xr6:coauthVersionLast="47" xr6:coauthVersionMax="47" xr10:uidLastSave="{A93CC72A-7405-2147-B5C0-8987F030BF14}"/>
  <bookViews>
    <workbookView xWindow="180" yWindow="800" windowWidth="36000" windowHeight="21300" xr2:uid="{811C4D7A-AC12-8745-A85D-3ABD19C26C5F}"/>
  </bookViews>
  <sheets>
    <sheet name="ggppa_progressivity_results_v4" sheetId="1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1" l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B64" i="1" s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</calcChain>
</file>

<file path=xl/sharedStrings.xml><?xml version="1.0" encoding="utf-8"?>
<sst xmlns="http://schemas.openxmlformats.org/spreadsheetml/2006/main" count="328" uniqueCount="57">
  <si>
    <t>Province</t>
  </si>
  <si>
    <t>Year</t>
  </si>
  <si>
    <t>carbon_price_per_tCO2e</t>
  </si>
  <si>
    <t>Quintile</t>
  </si>
  <si>
    <t>Households</t>
  </si>
  <si>
    <t>gas_exp</t>
  </si>
  <si>
    <t>ng_exp</t>
  </si>
  <si>
    <t>oil_exp</t>
  </si>
  <si>
    <t>total_exp</t>
  </si>
  <si>
    <t>gasoline_price</t>
  </si>
  <si>
    <t>heating_oil_price</t>
  </si>
  <si>
    <t>gasoline_litres</t>
  </si>
  <si>
    <t>oil_litres</t>
  </si>
  <si>
    <t>ng_GJ_per_dollar</t>
  </si>
  <si>
    <t>ng_GJ</t>
  </si>
  <si>
    <t>ng_m3</t>
  </si>
  <si>
    <t>Gasoline</t>
  </si>
  <si>
    <t>Light fuel oil</t>
  </si>
  <si>
    <t>Marketable natural gas</t>
  </si>
  <si>
    <t>ng_rate_per_GJ</t>
  </si>
  <si>
    <t>tax_gasoline</t>
  </si>
  <si>
    <t>tax_oil</t>
  </si>
  <si>
    <t>tax_ng</t>
  </si>
  <si>
    <t>direct_tax</t>
  </si>
  <si>
    <t>kappa</t>
  </si>
  <si>
    <t>indirect_cost</t>
  </si>
  <si>
    <t>gross_cost</t>
  </si>
  <si>
    <t>CCR_single_base</t>
  </si>
  <si>
    <t>CCR_couple_base</t>
  </si>
  <si>
    <t>CCR_family4_base</t>
  </si>
  <si>
    <t>CCR_single_rural</t>
  </si>
  <si>
    <t>CCR_couple_rural</t>
  </si>
  <si>
    <t>CCR_family4_rural</t>
  </si>
  <si>
    <t>net_single_base</t>
  </si>
  <si>
    <t>net_couple_base</t>
  </si>
  <si>
    <t>net_family4_base</t>
  </si>
  <si>
    <t>net_single_rural</t>
  </si>
  <si>
    <t>net_couple_rural</t>
  </si>
  <si>
    <t>net_family4_rural</t>
  </si>
  <si>
    <t>etr_direct_tax</t>
  </si>
  <si>
    <t>etr_gross_cost</t>
  </si>
  <si>
    <t>etr_net_single_base</t>
  </si>
  <si>
    <t>etr_net_couple_base</t>
  </si>
  <si>
    <t>etr_net_family4_base</t>
  </si>
  <si>
    <t>etr_net_single_rural</t>
  </si>
  <si>
    <t>etr_net_couple_rural</t>
  </si>
  <si>
    <t>etr_net_family4_rural</t>
  </si>
  <si>
    <t>Ontario</t>
  </si>
  <si>
    <t>Lowest quintile</t>
  </si>
  <si>
    <t>Second quintile</t>
  </si>
  <si>
    <t>Third quintile</t>
  </si>
  <si>
    <t>Fourth quintile</t>
  </si>
  <si>
    <t>Highest quintile</t>
  </si>
  <si>
    <t>Manitoba</t>
  </si>
  <si>
    <t>Saskatchewan</t>
  </si>
  <si>
    <t>Alberta</t>
  </si>
  <si>
    <t>kappa2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</si>
</sst>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0" borderId="0" xfId="0" quotePrefix="1" applyNumberFormat="1"/>
    <xf numFmtId="2" fontId="0" fillId="0" borderId="0" xfId="0" applyNumberFormat="1"/>
    <xf numFmtId="2" fontId="0" fillId="0" borderId="0" xfId="0" quotePrefix="1" applyNumberFormat="1"/>
    <xf numFmtId="166" fontId="0" fillId="0" borderId="0" xfId="0" quotePrefix="1" applyNumberFormat="1"/>
    <xf numFmtId="11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4"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B9C770-595F-3049-B70E-AB79D6FD52DC}" name="Table1" displayName="Table1" ref="A1:AV141" totalsRowShown="0">
  <autoFilter ref="A1:AV141" xr:uid="{39B9C770-595F-3049-B70E-AB79D6FD52DC}"/>
  <tableColumns count="48">
    <tableColumn id="1" xr3:uid="{3777A917-50BA-234A-B6B3-DBC03BF47E24}" name="Province"/>
    <tableColumn id="2" xr3:uid="{E53D5081-E306-EA40-9EAA-E933B0A6B191}" name="Year"/>
    <tableColumn id="3" xr3:uid="{5C7BA988-BCF4-1C48-A89D-318F0E8F560B}" name="carbon_price_per_tCO2e"/>
    <tableColumn id="4" xr3:uid="{B442DBFB-329B-7F4B-BDAD-D828A03AF96F}" name="Quintile"/>
    <tableColumn id="5" xr3:uid="{8BC54902-DA42-0A42-8112-549AF412BBFA}" name="Households" dataDxfId="43"/>
    <tableColumn id="6" xr3:uid="{EEE04366-0D0A-CA45-9D54-0686A96A8C43}" name="gas_exp" dataDxfId="42"/>
    <tableColumn id="7" xr3:uid="{C0CC5642-12AE-EC44-874C-3962E7821AE0}" name="ng_exp" dataDxfId="41"/>
    <tableColumn id="8" xr3:uid="{DFCDF6CC-16F9-7A4F-BA7A-F4E8285545DD}" name="oil_exp" dataDxfId="40"/>
    <tableColumn id="9" xr3:uid="{5E06007A-4CA6-AD4D-99BA-6CAA7ADFD190}" name="total_exp" dataDxfId="39"/>
    <tableColumn id="10" xr3:uid="{80A349D1-2CCE-894C-AEC8-4D99F784626A}" name="gasoline_price" dataDxfId="38"/>
    <tableColumn id="11" xr3:uid="{C8E04848-31E5-D842-A5E8-3BE5DA85FEAE}" name="heating_oil_price" dataDxfId="37"/>
    <tableColumn id="12" xr3:uid="{6EF2653D-1048-1649-A894-D0E74925FF62}" name="gasoline_litres" dataDxfId="36"/>
    <tableColumn id="13" xr3:uid="{298CB027-F163-7942-994B-D552A57AB31E}" name="oil_litres" dataDxfId="35"/>
    <tableColumn id="14" xr3:uid="{1C6B9542-4340-F44D-8976-FFD4329E6830}" name="ng_GJ_per_dollar" dataDxfId="34"/>
    <tableColumn id="15" xr3:uid="{A0C396B9-5D53-0F4F-9E26-85B967E02B55}" name="ng_GJ" dataDxfId="33"/>
    <tableColumn id="16" xr3:uid="{D21B854E-899C-7745-8285-5C11875DDDC7}" name="ng_m3" dataDxfId="32"/>
    <tableColumn id="17" xr3:uid="{C1216DFD-7DF5-D640-8E2E-DEEC6881C4C0}" name="Gasoline" dataDxfId="31"/>
    <tableColumn id="18" xr3:uid="{447C5491-DE45-F345-AE10-B7C1C49A0458}" name="Light fuel oil" dataDxfId="30"/>
    <tableColumn id="19" xr3:uid="{68C7C1B4-88BC-4C46-944A-B92A7C54E107}" name="Marketable natural gas" dataDxfId="29"/>
    <tableColumn id="20" xr3:uid="{F16685DB-4D2F-734A-A3C0-3B60478C4FEC}" name="ng_rate_per_GJ" dataDxfId="28"/>
    <tableColumn id="21" xr3:uid="{292C12ED-EE50-C241-B97E-35DAEF29E79A}" name="tax_gasoline" dataDxfId="27"/>
    <tableColumn id="22" xr3:uid="{626BABAE-676E-004B-B134-6C0BA7F0FDA2}" name="tax_oil" dataDxfId="26"/>
    <tableColumn id="23" xr3:uid="{9FF6A2B7-563D-DD46-B560-D3F7826017C8}" name="tax_ng" dataDxfId="25"/>
    <tableColumn id="24" xr3:uid="{3CFB8CE9-D46F-FC41-A14B-D6E1D6BD8968}" name="direct_tax" dataDxfId="24"/>
    <tableColumn id="25" xr3:uid="{6D288DED-74E1-F449-BF98-CE74880E823B}" name="kappa" dataDxfId="23"/>
    <tableColumn id="48" xr3:uid="{7177B727-5460-A04B-82F2-4AEB4D536160}" name="kappa2" dataDxfId="2"/>
    <tableColumn id="26" xr3:uid="{D155411F-07B5-7A4E-BCBF-ECC0E6D49D8C}" name="indirect_cost" dataDxfId="0">
      <calculatedColumnFormula>Table1[[#This Row],[direct_tax]]*Table1[[#This Row],[kappa]]</calculatedColumnFormula>
    </tableColumn>
    <tableColumn id="27" xr3:uid="{24165FE8-D989-5D42-AE78-E6CC0284BDDE}" name="gross_cost" dataDxfId="1">
      <calculatedColumnFormula>Table1[[#This Row],[direct_tax]]+Table1[[#This Row],[indirect_cost]]</calculatedColumnFormula>
    </tableColumn>
    <tableColumn id="28" xr3:uid="{2B68EC25-CC91-D94E-801C-FACE0D75047D}" name="CCR_single_base" dataDxfId="22"/>
    <tableColumn id="29" xr3:uid="{FD2F4A71-CE84-234D-90B6-D0B0957735D1}" name="CCR_couple_base" dataDxfId="21"/>
    <tableColumn id="30" xr3:uid="{4855536A-7F3C-0F45-9EFC-5260FD988111}" name="CCR_family4_base" dataDxfId="20"/>
    <tableColumn id="31" xr3:uid="{9EC3E9B4-B71D-CF43-BBB3-07B6112819C3}" name="CCR_single_rural" dataDxfId="19"/>
    <tableColumn id="32" xr3:uid="{FC1FCE84-74F9-6745-9FFE-1FBC1E719AE1}" name="CCR_couple_rural" dataDxfId="18"/>
    <tableColumn id="33" xr3:uid="{C994B534-8124-464C-B68E-BFEFC936DD89}" name="CCR_family4_rural" dataDxfId="17"/>
    <tableColumn id="34" xr3:uid="{B0D014A9-36E6-5A4F-BDAF-E48B4059457A}" name="net_single_base" dataDxfId="16"/>
    <tableColumn id="35" xr3:uid="{543A412B-115E-9443-A57C-CF2C4BBCD769}" name="net_couple_base" dataDxfId="15"/>
    <tableColumn id="36" xr3:uid="{2D13D874-6572-D044-AF7F-65088F2A1DBC}" name="net_family4_base" dataDxfId="14"/>
    <tableColumn id="37" xr3:uid="{4049CE8F-E162-1843-BAC9-893080F72C0C}" name="net_single_rural" dataDxfId="13"/>
    <tableColumn id="38" xr3:uid="{84027541-0D4E-844D-9AF5-C1181DD74F07}" name="net_couple_rural" dataDxfId="12"/>
    <tableColumn id="39" xr3:uid="{7DF3A57F-78C8-D547-B1F0-14A51E9A82A4}" name="net_family4_rural" dataDxfId="11"/>
    <tableColumn id="40" xr3:uid="{DBA3F3FD-3FB8-594F-8C15-DF783AA5CA78}" name="etr_direct_tax" dataDxfId="10"/>
    <tableColumn id="41" xr3:uid="{480984B5-895B-F945-B819-A0199D38A4A1}" name="etr_gross_cost" dataDxfId="9"/>
    <tableColumn id="42" xr3:uid="{C8592BF3-647E-494C-8E7C-C287B70CEF1A}" name="etr_net_single_base" dataDxfId="8"/>
    <tableColumn id="43" xr3:uid="{9261F9AF-42AC-1640-9F51-2B4ED2123841}" name="etr_net_couple_base" dataDxfId="7"/>
    <tableColumn id="44" xr3:uid="{DCF5F9E9-E575-B84F-9374-5CE0E6A0BB17}" name="etr_net_family4_base" dataDxfId="6"/>
    <tableColumn id="45" xr3:uid="{8684B41A-09EC-9048-8406-74171225A8F9}" name="etr_net_single_rural" dataDxfId="5"/>
    <tableColumn id="46" xr3:uid="{923B56E5-F02D-2042-9355-C901895C9F39}" name="etr_net_couple_rural" dataDxfId="4"/>
    <tableColumn id="47" xr3:uid="{5E175AD6-0A60-0F46-8842-A692D308A1E6}" name="etr_net_family4_rural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C69F0-E60E-594C-8275-593AF77A7801}">
  <dimension ref="A1:AV141"/>
  <sheetViews>
    <sheetView tabSelected="1" zoomScale="150" workbookViewId="0">
      <pane xSplit="4" ySplit="1" topLeftCell="U2" activePane="bottomRight" state="frozen"/>
      <selection pane="topRight" activeCell="E1" sqref="E1"/>
      <selection pane="bottomLeft" activeCell="A2" sqref="A2"/>
      <selection pane="bottomRight" activeCell="Y6" sqref="Y6"/>
    </sheetView>
  </sheetViews>
  <sheetFormatPr baseColWidth="10" defaultRowHeight="16" x14ac:dyDescent="0.2"/>
  <cols>
    <col min="3" max="3" width="23.83203125" customWidth="1"/>
    <col min="5" max="5" width="13" customWidth="1"/>
    <col min="9" max="9" width="11" customWidth="1"/>
    <col min="10" max="10" width="15.1640625" customWidth="1"/>
    <col min="11" max="11" width="17.33203125" customWidth="1"/>
    <col min="12" max="12" width="15.1640625" customWidth="1"/>
    <col min="14" max="14" width="17.1640625" customWidth="1"/>
    <col min="18" max="18" width="13" customWidth="1"/>
    <col min="19" max="19" width="21.83203125" customWidth="1"/>
    <col min="20" max="20" width="15.83203125" customWidth="1"/>
    <col min="21" max="21" width="13.5" customWidth="1"/>
    <col min="24" max="24" width="11.6640625" customWidth="1"/>
    <col min="27" max="27" width="12.83203125" customWidth="1"/>
    <col min="28" max="28" width="12" customWidth="1"/>
    <col min="29" max="29" width="17.5" customWidth="1"/>
    <col min="30" max="30" width="18.33203125" customWidth="1"/>
    <col min="31" max="31" width="18.6640625" customWidth="1"/>
    <col min="32" max="32" width="17.5" customWidth="1"/>
    <col min="33" max="33" width="18.33203125" customWidth="1"/>
    <col min="34" max="34" width="18.6640625" customWidth="1"/>
    <col min="35" max="35" width="16.33203125" customWidth="1"/>
    <col min="36" max="36" width="17.1640625" customWidth="1"/>
    <col min="37" max="37" width="17.5" customWidth="1"/>
    <col min="38" max="38" width="16.33203125" customWidth="1"/>
    <col min="39" max="39" width="17.1640625" customWidth="1"/>
    <col min="40" max="40" width="17.5" customWidth="1"/>
    <col min="41" max="41" width="14.83203125" customWidth="1"/>
    <col min="42" max="42" width="15.1640625" customWidth="1"/>
    <col min="43" max="43" width="19.5" customWidth="1"/>
    <col min="44" max="44" width="20.33203125" customWidth="1"/>
    <col min="45" max="45" width="20.6640625" customWidth="1"/>
    <col min="46" max="46" width="19.5" customWidth="1"/>
    <col min="47" max="47" width="20.33203125" customWidth="1"/>
    <col min="48" max="48" width="20.6640625" customWidth="1"/>
  </cols>
  <sheetData>
    <row r="1" spans="1:48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t="s">
        <v>24</v>
      </c>
      <c r="Z1" t="s">
        <v>56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</row>
    <row r="2" spans="1:48" x14ac:dyDescent="0.2">
      <c r="A2" t="s">
        <v>47</v>
      </c>
      <c r="B2">
        <v>2019</v>
      </c>
      <c r="C2">
        <v>20</v>
      </c>
      <c r="D2" t="s">
        <v>48</v>
      </c>
      <c r="E2" s="3">
        <v>1176865</v>
      </c>
      <c r="F2" s="3">
        <v>1187</v>
      </c>
      <c r="G2" s="3">
        <v>333</v>
      </c>
      <c r="H2" s="3">
        <v>101</v>
      </c>
      <c r="I2" s="3">
        <v>38714</v>
      </c>
      <c r="J2" s="4">
        <v>1.2092499999999999</v>
      </c>
      <c r="K2" s="2">
        <v>1.3276666666666599</v>
      </c>
      <c r="L2" s="2">
        <v>981.60016539177104</v>
      </c>
      <c r="M2" s="3">
        <v>76.073311574190299</v>
      </c>
      <c r="N2" s="3">
        <v>7.2019254500000005E-2</v>
      </c>
      <c r="O2" s="2">
        <v>23.982411748499999</v>
      </c>
      <c r="P2" s="2">
        <v>643.99970268247</v>
      </c>
      <c r="Q2" s="3">
        <v>4.4200000000000003E-2</v>
      </c>
      <c r="R2" s="3">
        <v>5.3699999999999998E-2</v>
      </c>
      <c r="S2" s="3">
        <v>3.9100000000000003E-2</v>
      </c>
      <c r="T2" s="2">
        <v>1.0499522999999999</v>
      </c>
      <c r="U2" s="2">
        <v>43.386727310316303</v>
      </c>
      <c r="V2" s="2">
        <v>4.08513683153401</v>
      </c>
      <c r="W2" s="2">
        <v>25.1803883748846</v>
      </c>
      <c r="X2" s="2">
        <v>72.652252516734904</v>
      </c>
      <c r="Y2" s="2">
        <v>0.69542533187362199</v>
      </c>
      <c r="Z2" s="2"/>
      <c r="AA2" s="2">
        <f>Table1[[#This Row],[direct_tax]]*Table1[[#This Row],[kappa]]</f>
        <v>50.524216817816558</v>
      </c>
      <c r="AB2" s="2">
        <f>Table1[[#This Row],[direct_tax]]+Table1[[#This Row],[indirect_cost]]</f>
        <v>123.17646933455146</v>
      </c>
      <c r="AC2" s="3">
        <v>154</v>
      </c>
      <c r="AD2" s="3">
        <v>231</v>
      </c>
      <c r="AE2" s="3">
        <v>307</v>
      </c>
      <c r="AF2" s="3">
        <v>169.4</v>
      </c>
      <c r="AG2" s="2">
        <v>254.1</v>
      </c>
      <c r="AH2" s="2">
        <v>337.7</v>
      </c>
      <c r="AI2" s="3">
        <v>-30.823530665448398</v>
      </c>
      <c r="AJ2" s="3">
        <v>-107.823530665448</v>
      </c>
      <c r="AK2" s="3">
        <v>-183.823530665448</v>
      </c>
      <c r="AL2" s="3">
        <v>-46.223530665448401</v>
      </c>
      <c r="AM2" s="3">
        <v>-130.923530665448</v>
      </c>
      <c r="AN2" s="3">
        <v>-214.52353066544799</v>
      </c>
      <c r="AO2" s="3">
        <v>1.8766402985156501E-3</v>
      </c>
      <c r="AP2" s="3">
        <v>3.18170350091831E-3</v>
      </c>
      <c r="AQ2" s="3">
        <v>-7.9618563479486601E-4</v>
      </c>
      <c r="AR2" s="3">
        <v>-2.7851302026514501E-3</v>
      </c>
      <c r="AS2" s="3">
        <v>-4.7482443215748401E-3</v>
      </c>
      <c r="AT2" s="3">
        <v>-1.1939745483661799E-3</v>
      </c>
      <c r="AU2" s="3">
        <v>-3.3818135730084302E-3</v>
      </c>
      <c r="AV2" s="3">
        <v>-5.5412391038241497E-3</v>
      </c>
    </row>
    <row r="3" spans="1:48" x14ac:dyDescent="0.2">
      <c r="A3" t="s">
        <v>47</v>
      </c>
      <c r="B3">
        <v>2020</v>
      </c>
      <c r="C3">
        <v>30</v>
      </c>
      <c r="D3" t="s">
        <v>48</v>
      </c>
      <c r="E3" s="3">
        <v>1208939</v>
      </c>
      <c r="F3" s="3">
        <v>1247</v>
      </c>
      <c r="G3" s="3">
        <v>369.5</v>
      </c>
      <c r="H3" s="3">
        <v>102</v>
      </c>
      <c r="I3" s="3">
        <v>39703</v>
      </c>
      <c r="J3" s="4">
        <v>1.0371666666666599</v>
      </c>
      <c r="K3" s="2">
        <v>1.17475</v>
      </c>
      <c r="L3" s="2">
        <v>1202.31399646472</v>
      </c>
      <c r="M3" s="2">
        <v>86.826984464779699</v>
      </c>
      <c r="N3" s="3">
        <v>7.2019254500000005E-2</v>
      </c>
      <c r="O3" s="3">
        <v>26.611114537750002</v>
      </c>
      <c r="P3" s="2">
        <v>714.58825868220003</v>
      </c>
      <c r="Q3" s="3">
        <v>6.6299999999999998E-2</v>
      </c>
      <c r="R3" s="3">
        <v>8.0500000000000002E-2</v>
      </c>
      <c r="S3" s="3">
        <v>5.8700000000000002E-2</v>
      </c>
      <c r="T3" s="2">
        <v>1.5762711</v>
      </c>
      <c r="U3" s="2">
        <v>79.713417965611399</v>
      </c>
      <c r="V3" s="2">
        <v>6.9895722494147599</v>
      </c>
      <c r="W3" s="2">
        <v>41.946330784645099</v>
      </c>
      <c r="X3" s="2">
        <v>128.649320999671</v>
      </c>
      <c r="Y3" s="2">
        <v>0.66838380427809396</v>
      </c>
      <c r="Z3" s="2"/>
      <c r="AA3" s="2">
        <f>Table1[[#This Row],[direct_tax]]*Table1[[#This Row],[kappa]]</f>
        <v>85.987122587553785</v>
      </c>
      <c r="AB3" s="2">
        <f>Table1[[#This Row],[direct_tax]]+Table1[[#This Row],[indirect_cost]]</f>
        <v>214.63644358722479</v>
      </c>
      <c r="AC3" s="3">
        <v>224</v>
      </c>
      <c r="AD3" s="3">
        <v>336</v>
      </c>
      <c r="AE3" s="3">
        <v>448</v>
      </c>
      <c r="AF3" s="2">
        <v>246.4</v>
      </c>
      <c r="AG3" s="3">
        <v>369.6</v>
      </c>
      <c r="AH3" s="2">
        <v>492.8</v>
      </c>
      <c r="AI3" s="3">
        <v>-9.3635564127745496</v>
      </c>
      <c r="AJ3" s="3">
        <v>-121.363556412774</v>
      </c>
      <c r="AK3" s="3">
        <v>-233.36355641277399</v>
      </c>
      <c r="AL3" s="3">
        <v>-31.763556412774498</v>
      </c>
      <c r="AM3" s="3">
        <v>-154.96355641277401</v>
      </c>
      <c r="AN3" s="3">
        <v>-278.16355641277403</v>
      </c>
      <c r="AO3" s="3">
        <v>3.2402921945362101E-3</v>
      </c>
      <c r="AP3" s="3">
        <v>5.4060510184929401E-3</v>
      </c>
      <c r="AQ3" s="3">
        <v>-2.3584002248632399E-4</v>
      </c>
      <c r="AR3" s="3">
        <v>-3.05678554297596E-3</v>
      </c>
      <c r="AS3" s="3">
        <v>-5.8777310634655902E-3</v>
      </c>
      <c r="AT3" s="3">
        <v>-8.0002912658425204E-4</v>
      </c>
      <c r="AU3" s="3">
        <v>-3.90306919912285E-3</v>
      </c>
      <c r="AV3" s="3">
        <v>-7.0061092716614502E-3</v>
      </c>
    </row>
    <row r="4" spans="1:48" x14ac:dyDescent="0.2">
      <c r="A4" t="s">
        <v>47</v>
      </c>
      <c r="B4">
        <v>2021</v>
      </c>
      <c r="C4">
        <v>40</v>
      </c>
      <c r="D4" t="s">
        <v>48</v>
      </c>
      <c r="E4" s="3">
        <v>1286480</v>
      </c>
      <c r="F4" s="3">
        <v>1307</v>
      </c>
      <c r="G4" s="3">
        <v>406</v>
      </c>
      <c r="H4" s="3">
        <v>103</v>
      </c>
      <c r="I4" s="3">
        <v>40692</v>
      </c>
      <c r="J4" s="4">
        <v>1.3430555555555499</v>
      </c>
      <c r="K4" s="2">
        <v>1.40994444444444</v>
      </c>
      <c r="L4" s="2">
        <v>973.15408479834502</v>
      </c>
      <c r="M4" s="2">
        <v>73.0525237401</v>
      </c>
      <c r="N4" s="3">
        <v>7.2019254500000005E-2</v>
      </c>
      <c r="O4" s="3">
        <v>29.239817327000001</v>
      </c>
      <c r="P4" s="2">
        <v>785.17681468193098</v>
      </c>
      <c r="Q4" s="3">
        <v>8.8400000000000006E-2</v>
      </c>
      <c r="R4" s="3">
        <v>0.10730000000000001</v>
      </c>
      <c r="S4" s="3">
        <v>7.8299999999999995E-2</v>
      </c>
      <c r="T4" s="3">
        <v>2.1025898999999999</v>
      </c>
      <c r="U4" s="2">
        <v>86.026821096173705</v>
      </c>
      <c r="V4" s="3">
        <v>7.8385357973127396</v>
      </c>
      <c r="W4" s="2">
        <v>61.479344589595101</v>
      </c>
      <c r="X4" s="2">
        <v>155.344701483081</v>
      </c>
      <c r="Y4" s="2">
        <v>0.64134227668256505</v>
      </c>
      <c r="Z4" s="2"/>
      <c r="AA4" s="2">
        <f>Table1[[#This Row],[direct_tax]]*Table1[[#This Row],[kappa]]</f>
        <v>99.629124519732599</v>
      </c>
      <c r="AB4" s="2">
        <f>Table1[[#This Row],[direct_tax]]+Table1[[#This Row],[indirect_cost]]</f>
        <v>254.97382600281361</v>
      </c>
      <c r="AC4" s="3">
        <v>300</v>
      </c>
      <c r="AD4" s="3">
        <v>450</v>
      </c>
      <c r="AE4" s="3">
        <v>600</v>
      </c>
      <c r="AF4" s="3">
        <v>330</v>
      </c>
      <c r="AG4" s="2">
        <v>495</v>
      </c>
      <c r="AH4" s="3">
        <v>660</v>
      </c>
      <c r="AI4" s="3">
        <v>-45.026173997185097</v>
      </c>
      <c r="AJ4" s="3">
        <v>-195.026173997185</v>
      </c>
      <c r="AK4" s="3">
        <v>-345.02617399718503</v>
      </c>
      <c r="AL4" s="3">
        <v>-75.026173997185097</v>
      </c>
      <c r="AM4" s="3">
        <v>-240.026173997185</v>
      </c>
      <c r="AN4" s="3">
        <v>-405.02617399718503</v>
      </c>
      <c r="AO4" s="3">
        <v>3.8175735152629901E-3</v>
      </c>
      <c r="AP4" s="3">
        <v>6.2659448049448199E-3</v>
      </c>
      <c r="AQ4" s="3">
        <v>-1.1065116975617999E-3</v>
      </c>
      <c r="AR4" s="3">
        <v>-4.7927399488151201E-3</v>
      </c>
      <c r="AS4" s="3">
        <v>-8.4789682000684392E-3</v>
      </c>
      <c r="AT4" s="3">
        <v>-1.8437573478124699E-3</v>
      </c>
      <c r="AU4" s="3">
        <v>-5.8986084241911202E-3</v>
      </c>
      <c r="AV4" s="3">
        <v>-9.9534595005697692E-3</v>
      </c>
    </row>
    <row r="5" spans="1:48" x14ac:dyDescent="0.2">
      <c r="A5" t="s">
        <v>47</v>
      </c>
      <c r="B5">
        <v>2022</v>
      </c>
      <c r="C5">
        <v>50</v>
      </c>
      <c r="D5" t="s">
        <v>48</v>
      </c>
      <c r="E5" s="3">
        <v>1404370</v>
      </c>
      <c r="F5" s="3">
        <v>1131</v>
      </c>
      <c r="G5" s="3">
        <v>489.5</v>
      </c>
      <c r="H5" s="3">
        <v>103</v>
      </c>
      <c r="I5" s="3">
        <v>42659.5</v>
      </c>
      <c r="J5" s="4">
        <v>1.6998888888888799</v>
      </c>
      <c r="K5" s="2">
        <v>2.18194444444444</v>
      </c>
      <c r="L5" s="3">
        <v>665.33760376495195</v>
      </c>
      <c r="M5" s="2">
        <v>47.205601527689304</v>
      </c>
      <c r="N5" s="3">
        <v>7.2019254500000005E-2</v>
      </c>
      <c r="O5" s="3">
        <v>35.253425077750002</v>
      </c>
      <c r="P5" s="2">
        <v>946.66022361282</v>
      </c>
      <c r="Q5" s="3">
        <v>0.1105</v>
      </c>
      <c r="R5" s="3">
        <v>0.1341</v>
      </c>
      <c r="S5" s="3">
        <v>9.7900000000000001E-2</v>
      </c>
      <c r="T5" s="3">
        <v>2.6289087000000002</v>
      </c>
      <c r="U5" s="3">
        <v>73.519805216027194</v>
      </c>
      <c r="V5" s="2">
        <v>6.3302711648631398</v>
      </c>
      <c r="W5" s="2">
        <v>92.678035891695103</v>
      </c>
      <c r="X5" s="2">
        <v>172.52811227258499</v>
      </c>
      <c r="Y5" s="2">
        <v>0.61430074908703702</v>
      </c>
      <c r="Z5" s="2"/>
      <c r="AA5" s="2">
        <f>Table1[[#This Row],[direct_tax]]*Table1[[#This Row],[kappa]]</f>
        <v>105.98414860762139</v>
      </c>
      <c r="AB5" s="2">
        <f>Table1[[#This Row],[direct_tax]]+Table1[[#This Row],[indirect_cost]]</f>
        <v>278.51226088020638</v>
      </c>
      <c r="AC5" s="3">
        <v>373</v>
      </c>
      <c r="AD5" s="3">
        <v>559</v>
      </c>
      <c r="AE5" s="3">
        <v>745</v>
      </c>
      <c r="AF5" s="3">
        <v>410.3</v>
      </c>
      <c r="AG5" s="2">
        <v>614.9</v>
      </c>
      <c r="AH5" s="2">
        <v>819.5</v>
      </c>
      <c r="AI5" s="3">
        <v>-94.487739119792707</v>
      </c>
      <c r="AJ5" s="3">
        <v>-280.48773911979202</v>
      </c>
      <c r="AK5" s="3">
        <v>-466.48773911979202</v>
      </c>
      <c r="AL5" s="3">
        <v>-131.78773911979201</v>
      </c>
      <c r="AM5" s="3">
        <v>-336.387739119792</v>
      </c>
      <c r="AN5" s="3">
        <v>-540.98773911979197</v>
      </c>
      <c r="AO5" s="3">
        <v>4.0443069485714897E-3</v>
      </c>
      <c r="AP5" s="3">
        <v>6.5287277366168602E-3</v>
      </c>
      <c r="AQ5" s="3">
        <v>-2.2149284243789201E-3</v>
      </c>
      <c r="AR5" s="3">
        <v>-6.57503578616234E-3</v>
      </c>
      <c r="AS5" s="3">
        <v>-1.09351431479457E-2</v>
      </c>
      <c r="AT5" s="3">
        <v>-3.0892940404785001E-3</v>
      </c>
      <c r="AU5" s="3">
        <v>-7.8854121384402693E-3</v>
      </c>
      <c r="AV5" s="3">
        <v>-1.2681530236402E-2</v>
      </c>
    </row>
    <row r="6" spans="1:48" x14ac:dyDescent="0.2">
      <c r="A6" t="s">
        <v>47</v>
      </c>
      <c r="B6">
        <v>2023</v>
      </c>
      <c r="C6">
        <v>65</v>
      </c>
      <c r="D6" t="s">
        <v>48</v>
      </c>
      <c r="E6" s="3">
        <v>1453486</v>
      </c>
      <c r="F6" s="3">
        <v>955</v>
      </c>
      <c r="G6" s="3">
        <v>573</v>
      </c>
      <c r="H6" s="3">
        <v>103</v>
      </c>
      <c r="I6" s="3">
        <v>44627</v>
      </c>
      <c r="J6" s="4">
        <v>1.55883333333333</v>
      </c>
      <c r="K6" s="2">
        <v>1.9092499999999999</v>
      </c>
      <c r="L6" s="2">
        <v>612.63765636694097</v>
      </c>
      <c r="M6" s="2">
        <v>53.947885295272997</v>
      </c>
      <c r="N6" s="3">
        <v>7.2019254500000005E-2</v>
      </c>
      <c r="O6" s="3">
        <v>41.2670328285</v>
      </c>
      <c r="P6" s="2">
        <v>1108.1436325437101</v>
      </c>
      <c r="Q6" s="3">
        <v>0.1431</v>
      </c>
      <c r="R6" s="3">
        <v>0.17380000000000001</v>
      </c>
      <c r="S6" s="3">
        <v>0.1239</v>
      </c>
      <c r="T6" s="3">
        <v>3.3270867000000002</v>
      </c>
      <c r="U6" s="2">
        <v>87.668448626109196</v>
      </c>
      <c r="V6" s="3">
        <v>9.3761424643184501</v>
      </c>
      <c r="W6" s="2">
        <v>137.29899607216501</v>
      </c>
      <c r="X6" s="2">
        <v>234.343587162593</v>
      </c>
      <c r="Y6" s="2">
        <v>0.57373845769374399</v>
      </c>
      <c r="Z6" s="2"/>
      <c r="AA6" s="3">
        <f>Table1[[#This Row],[direct_tax]]*Table1[[#This Row],[kappa]]</f>
        <v>134.45192826908556</v>
      </c>
      <c r="AB6" s="2">
        <f>Table1[[#This Row],[direct_tax]]+Table1[[#This Row],[indirect_cost]]</f>
        <v>368.79551543167855</v>
      </c>
      <c r="AC6" s="3">
        <v>488</v>
      </c>
      <c r="AD6" s="3">
        <v>732</v>
      </c>
      <c r="AE6" s="3">
        <v>976</v>
      </c>
      <c r="AF6" s="2">
        <v>536.79999999999995</v>
      </c>
      <c r="AG6" s="3">
        <v>805.2</v>
      </c>
      <c r="AH6" s="2">
        <v>1073.5999999999999</v>
      </c>
      <c r="AI6" s="3">
        <v>-119.20448456832</v>
      </c>
      <c r="AJ6" s="3">
        <v>-363.20448456832003</v>
      </c>
      <c r="AK6" s="3">
        <v>-607.20448456832003</v>
      </c>
      <c r="AL6" s="3">
        <v>-168.00448456832001</v>
      </c>
      <c r="AM6" s="3">
        <v>-436.40448456832002</v>
      </c>
      <c r="AN6" s="3">
        <v>-704.80448456832005</v>
      </c>
      <c r="AO6" s="3">
        <v>5.2511615650299897E-3</v>
      </c>
      <c r="AP6" s="3">
        <v>8.2639549024509703E-3</v>
      </c>
      <c r="AQ6" s="3">
        <v>-2.6711292394362199E-3</v>
      </c>
      <c r="AR6" s="3">
        <v>-8.1386713103798192E-3</v>
      </c>
      <c r="AS6" s="3">
        <v>-1.3606213381323401E-2</v>
      </c>
      <c r="AT6" s="3">
        <v>-3.7646376536249401E-3</v>
      </c>
      <c r="AU6" s="3">
        <v>-9.7789339316628997E-3</v>
      </c>
      <c r="AV6" s="3">
        <v>-1.57932302097008E-2</v>
      </c>
    </row>
    <row r="7" spans="1:48" x14ac:dyDescent="0.2">
      <c r="A7" t="s">
        <v>47</v>
      </c>
      <c r="B7">
        <v>2024</v>
      </c>
      <c r="C7">
        <v>80</v>
      </c>
      <c r="D7" t="s">
        <v>48</v>
      </c>
      <c r="E7" s="3">
        <v>1417179</v>
      </c>
      <c r="F7" s="3">
        <v>955</v>
      </c>
      <c r="G7" s="3">
        <v>573</v>
      </c>
      <c r="H7" s="3">
        <v>103</v>
      </c>
      <c r="I7" s="3">
        <v>44627</v>
      </c>
      <c r="J7" s="4">
        <v>1.56883333333333</v>
      </c>
      <c r="K7" s="2">
        <v>1.6484722222222199</v>
      </c>
      <c r="L7" s="2">
        <v>608.73260384574496</v>
      </c>
      <c r="M7" s="2">
        <v>62.482096217035902</v>
      </c>
      <c r="N7" s="3">
        <v>7.2019254500000005E-2</v>
      </c>
      <c r="O7" s="3">
        <v>41.2670328285</v>
      </c>
      <c r="P7" s="2">
        <v>1108.1436325437101</v>
      </c>
      <c r="Q7" s="3">
        <v>0.17610000000000001</v>
      </c>
      <c r="R7" s="3">
        <v>0.21390000000000001</v>
      </c>
      <c r="S7" s="3">
        <v>0.1525</v>
      </c>
      <c r="T7" s="3">
        <v>4.0950825000000002</v>
      </c>
      <c r="U7" s="2">
        <v>107.197811537235</v>
      </c>
      <c r="V7" s="2">
        <v>13.3649203808239</v>
      </c>
      <c r="W7" s="2">
        <v>168.99190396291499</v>
      </c>
      <c r="X7" s="2">
        <v>289.55463588097501</v>
      </c>
      <c r="Y7" s="2">
        <v>0.53317616630045195</v>
      </c>
      <c r="Z7" s="2"/>
      <c r="AA7" s="2">
        <f>Table1[[#This Row],[direct_tax]]*Table1[[#This Row],[kappa]]</f>
        <v>154.38363069354153</v>
      </c>
      <c r="AB7" s="2">
        <f>Table1[[#This Row],[direct_tax]]+Table1[[#This Row],[indirect_cost]]</f>
        <v>443.93826657451655</v>
      </c>
      <c r="AC7" s="3">
        <v>560</v>
      </c>
      <c r="AD7" s="3">
        <v>840</v>
      </c>
      <c r="AE7" s="3">
        <v>1120</v>
      </c>
      <c r="AF7" s="3">
        <v>672</v>
      </c>
      <c r="AG7" s="3">
        <v>1008</v>
      </c>
      <c r="AH7" s="3">
        <v>1344</v>
      </c>
      <c r="AI7" s="3">
        <v>-116.061733425482</v>
      </c>
      <c r="AJ7" s="3">
        <v>-396.06173342548198</v>
      </c>
      <c r="AK7" s="3">
        <v>-676.06173342548198</v>
      </c>
      <c r="AL7" s="3">
        <v>-228.061733425482</v>
      </c>
      <c r="AM7" s="3">
        <v>-564.06173342548198</v>
      </c>
      <c r="AN7" s="3">
        <v>-900.06173342548198</v>
      </c>
      <c r="AO7" s="3">
        <v>6.4883284980163398E-3</v>
      </c>
      <c r="AP7" s="3">
        <v>9.9477506122866693E-3</v>
      </c>
      <c r="AQ7" s="3">
        <v>-2.6007065997150202E-3</v>
      </c>
      <c r="AR7" s="3">
        <v>-8.8749352057158701E-3</v>
      </c>
      <c r="AS7" s="3">
        <v>-1.5149163811716699E-2</v>
      </c>
      <c r="AT7" s="3">
        <v>-5.1103980421153602E-3</v>
      </c>
      <c r="AU7" s="3">
        <v>-1.26394723693163E-2</v>
      </c>
      <c r="AV7" s="3">
        <v>-2.0168546696517398E-2</v>
      </c>
    </row>
    <row r="8" spans="1:48" x14ac:dyDescent="0.2">
      <c r="A8" t="s">
        <v>47</v>
      </c>
      <c r="B8">
        <v>2025</v>
      </c>
      <c r="C8">
        <v>0</v>
      </c>
      <c r="D8" t="s">
        <v>48</v>
      </c>
      <c r="E8" s="3">
        <v>1417179</v>
      </c>
      <c r="F8" s="3">
        <v>955</v>
      </c>
      <c r="G8" s="3">
        <v>573</v>
      </c>
      <c r="H8" s="3">
        <v>103</v>
      </c>
      <c r="I8" s="3">
        <v>44627</v>
      </c>
      <c r="J8" s="4">
        <v>1.39052777777777</v>
      </c>
      <c r="K8" s="2">
        <v>1.57161111111111</v>
      </c>
      <c r="L8" s="2">
        <v>686.78958828582199</v>
      </c>
      <c r="M8" s="2">
        <v>65.537841563858706</v>
      </c>
      <c r="N8" s="3">
        <v>7.2019254500000005E-2</v>
      </c>
      <c r="O8" s="3">
        <v>41.2670328285</v>
      </c>
      <c r="P8" s="2">
        <v>1108.1436325437101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/>
      <c r="AA8" s="3">
        <f>Table1[[#This Row],[direct_tax]]*Table1[[#This Row],[kappa]]</f>
        <v>0</v>
      </c>
      <c r="AB8" s="3">
        <f>Table1[[#This Row],[direct_tax]]+Table1[[#This Row],[indirect_cost]]</f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</row>
    <row r="9" spans="1:48" x14ac:dyDescent="0.2">
      <c r="A9" t="s">
        <v>47</v>
      </c>
      <c r="B9">
        <v>2019</v>
      </c>
      <c r="C9">
        <v>20</v>
      </c>
      <c r="D9" t="s">
        <v>49</v>
      </c>
      <c r="E9" s="3">
        <v>1045892</v>
      </c>
      <c r="F9" s="3">
        <v>1760</v>
      </c>
      <c r="G9" s="3">
        <v>739</v>
      </c>
      <c r="H9" s="3">
        <v>68</v>
      </c>
      <c r="I9" s="3">
        <v>61243</v>
      </c>
      <c r="J9" s="4">
        <v>1.2092499999999999</v>
      </c>
      <c r="K9" s="2">
        <v>1.3276666666666599</v>
      </c>
      <c r="L9" s="2">
        <v>1455.4475914823199</v>
      </c>
      <c r="M9" s="2">
        <v>51.217675119256803</v>
      </c>
      <c r="N9" s="3">
        <v>7.2019254500000005E-2</v>
      </c>
      <c r="O9" s="3">
        <v>53.222229075500003</v>
      </c>
      <c r="P9" s="2">
        <v>1429.1765173644001</v>
      </c>
      <c r="Q9" s="3">
        <v>4.4200000000000003E-2</v>
      </c>
      <c r="R9" s="3">
        <v>5.3699999999999998E-2</v>
      </c>
      <c r="S9" s="3">
        <v>3.9100000000000003E-2</v>
      </c>
      <c r="T9" s="2">
        <v>1.0499522999999999</v>
      </c>
      <c r="U9" s="3">
        <v>64.330783543518706</v>
      </c>
      <c r="V9" s="2">
        <v>2.7503891539040901</v>
      </c>
      <c r="W9" s="2">
        <v>55.880801828948101</v>
      </c>
      <c r="X9" s="2">
        <v>122.96197452637</v>
      </c>
      <c r="Y9" s="2">
        <v>0.69542533187362199</v>
      </c>
      <c r="Z9" s="2"/>
      <c r="AA9" s="2">
        <f>Table1[[#This Row],[direct_tax]]*Table1[[#This Row],[kappa]]</f>
        <v>85.510871942836715</v>
      </c>
      <c r="AB9" s="2">
        <f>Table1[[#This Row],[direct_tax]]+Table1[[#This Row],[indirect_cost]]</f>
        <v>208.47284646920673</v>
      </c>
      <c r="AC9" s="3">
        <v>154</v>
      </c>
      <c r="AD9" s="3">
        <v>231</v>
      </c>
      <c r="AE9" s="3">
        <v>307</v>
      </c>
      <c r="AF9" s="3">
        <v>169.4</v>
      </c>
      <c r="AG9" s="2">
        <v>254.1</v>
      </c>
      <c r="AH9" s="2">
        <v>337.7</v>
      </c>
      <c r="AI9" s="2">
        <v>54.472846469208299</v>
      </c>
      <c r="AJ9" s="3">
        <v>-22.527153530791601</v>
      </c>
      <c r="AK9" s="3">
        <v>-98.527153530791594</v>
      </c>
      <c r="AL9" s="2">
        <v>39.072846469208301</v>
      </c>
      <c r="AM9" s="3">
        <v>-45.627153530791702</v>
      </c>
      <c r="AN9" s="3">
        <v>-129.22715353079101</v>
      </c>
      <c r="AO9" s="3">
        <v>2.0077719008926801E-3</v>
      </c>
      <c r="AP9" s="3">
        <v>3.4040273413975201E-3</v>
      </c>
      <c r="AQ9" s="3">
        <v>8.8945424732962599E-4</v>
      </c>
      <c r="AR9" s="3">
        <v>-3.6783229970432002E-4</v>
      </c>
      <c r="AS9" s="3">
        <v>-1.6087904500235401E-3</v>
      </c>
      <c r="AT9" s="3">
        <v>6.3799693792283699E-4</v>
      </c>
      <c r="AU9" s="3">
        <v>-7.4501826381450395E-4</v>
      </c>
      <c r="AV9" s="3">
        <v>-2.1100722291656402E-3</v>
      </c>
    </row>
    <row r="10" spans="1:48" x14ac:dyDescent="0.2">
      <c r="A10" t="s">
        <v>47</v>
      </c>
      <c r="B10">
        <v>2020</v>
      </c>
      <c r="C10">
        <v>30</v>
      </c>
      <c r="D10" t="s">
        <v>49</v>
      </c>
      <c r="E10" s="3">
        <v>1054243</v>
      </c>
      <c r="F10" s="3">
        <v>1512.5</v>
      </c>
      <c r="G10" s="3">
        <v>662.5</v>
      </c>
      <c r="H10" s="3">
        <v>94</v>
      </c>
      <c r="I10" s="3">
        <v>58542.5</v>
      </c>
      <c r="J10" s="4">
        <v>1.0371666666666599</v>
      </c>
      <c r="K10" s="2">
        <v>1.17475</v>
      </c>
      <c r="L10" s="2">
        <v>1458.29985537522</v>
      </c>
      <c r="M10" s="2">
        <v>80.017024898914599</v>
      </c>
      <c r="N10" s="3">
        <v>7.2019254500000005E-2</v>
      </c>
      <c r="O10" s="2">
        <v>47.712756106249998</v>
      </c>
      <c r="P10" s="2">
        <v>1281.23063972113</v>
      </c>
      <c r="Q10" s="3">
        <v>6.6299999999999998E-2</v>
      </c>
      <c r="R10" s="3">
        <v>8.0500000000000002E-2</v>
      </c>
      <c r="S10" s="3">
        <v>5.8700000000000002E-2</v>
      </c>
      <c r="T10" s="2">
        <v>1.5762711</v>
      </c>
      <c r="U10" s="2">
        <v>96.685280411377093</v>
      </c>
      <c r="V10" s="3">
        <v>6.4413705043626299</v>
      </c>
      <c r="W10" s="2">
        <v>75.208238551630402</v>
      </c>
      <c r="X10" s="2">
        <v>178.33488946737</v>
      </c>
      <c r="Y10" s="2">
        <v>0.66838380427809396</v>
      </c>
      <c r="Z10" s="2"/>
      <c r="AA10" s="2">
        <f>Table1[[#This Row],[direct_tax]]*Table1[[#This Row],[kappa]]</f>
        <v>119.19615185771416</v>
      </c>
      <c r="AB10" s="2">
        <f>Table1[[#This Row],[direct_tax]]+Table1[[#This Row],[indirect_cost]]</f>
        <v>297.53104132508417</v>
      </c>
      <c r="AC10" s="3">
        <v>224</v>
      </c>
      <c r="AD10" s="3">
        <v>336</v>
      </c>
      <c r="AE10" s="3">
        <v>448</v>
      </c>
      <c r="AF10" s="2">
        <v>246.4</v>
      </c>
      <c r="AG10" s="3">
        <v>369.6</v>
      </c>
      <c r="AH10" s="2">
        <v>492.8</v>
      </c>
      <c r="AI10" s="2">
        <v>73.531041325084502</v>
      </c>
      <c r="AJ10" s="3">
        <v>-38.468958674915399</v>
      </c>
      <c r="AK10" s="3">
        <v>-150.468958674915</v>
      </c>
      <c r="AL10" s="2">
        <v>51.131041325084503</v>
      </c>
      <c r="AM10" s="3">
        <v>-72.068958674915393</v>
      </c>
      <c r="AN10" s="3">
        <v>-195.26895867491501</v>
      </c>
      <c r="AO10" s="3">
        <v>3.0462465639043402E-3</v>
      </c>
      <c r="AP10" s="3">
        <v>5.0823084310558002E-3</v>
      </c>
      <c r="AQ10" s="3">
        <v>1.2560283781028201E-3</v>
      </c>
      <c r="AR10" s="3">
        <v>-6.5711164837366698E-4</v>
      </c>
      <c r="AS10" s="3">
        <v>-2.5702516748501501E-3</v>
      </c>
      <c r="AT10" s="3">
        <v>8.7340037280752496E-4</v>
      </c>
      <c r="AU10" s="3">
        <v>-1.23105365631661E-3</v>
      </c>
      <c r="AV10" s="3">
        <v>-3.3355076854407499E-3</v>
      </c>
    </row>
    <row r="11" spans="1:48" x14ac:dyDescent="0.2">
      <c r="A11" t="s">
        <v>47</v>
      </c>
      <c r="B11">
        <v>2021</v>
      </c>
      <c r="C11">
        <v>40</v>
      </c>
      <c r="D11" t="s">
        <v>49</v>
      </c>
      <c r="E11" s="3">
        <v>1051434</v>
      </c>
      <c r="F11" s="3">
        <v>1265</v>
      </c>
      <c r="G11" s="3">
        <v>586</v>
      </c>
      <c r="H11" s="3">
        <v>120</v>
      </c>
      <c r="I11" s="3">
        <v>55842</v>
      </c>
      <c r="J11" s="4">
        <v>1.3430555555555499</v>
      </c>
      <c r="K11" s="2">
        <v>1.40994444444444</v>
      </c>
      <c r="L11" s="2">
        <v>941.88210961737298</v>
      </c>
      <c r="M11" s="3">
        <v>85.109736396233103</v>
      </c>
      <c r="N11" s="3">
        <v>7.2019254500000005E-2</v>
      </c>
      <c r="O11" s="3">
        <v>42.203283137</v>
      </c>
      <c r="P11" s="2">
        <v>1133.28476207786</v>
      </c>
      <c r="Q11" s="3">
        <v>8.8400000000000006E-2</v>
      </c>
      <c r="R11" s="3">
        <v>0.10730000000000001</v>
      </c>
      <c r="S11" s="3">
        <v>7.8299999999999995E-2</v>
      </c>
      <c r="T11" s="3">
        <v>2.1025898999999999</v>
      </c>
      <c r="U11" s="2">
        <v>83.262378490175806</v>
      </c>
      <c r="V11" s="2">
        <v>9.1322747153158108</v>
      </c>
      <c r="W11" s="2">
        <v>88.736196870696503</v>
      </c>
      <c r="X11" s="2">
        <v>181.13085007618801</v>
      </c>
      <c r="Y11" s="2">
        <v>0.64134227668256505</v>
      </c>
      <c r="Z11" s="2"/>
      <c r="AA11" s="2">
        <f>Table1[[#This Row],[direct_tax]]*Table1[[#This Row],[kappa]]</f>
        <v>116.16687176531077</v>
      </c>
      <c r="AB11" s="2">
        <f>Table1[[#This Row],[direct_tax]]+Table1[[#This Row],[indirect_cost]]</f>
        <v>297.2977218414988</v>
      </c>
      <c r="AC11" s="3">
        <v>300</v>
      </c>
      <c r="AD11" s="3">
        <v>450</v>
      </c>
      <c r="AE11" s="3">
        <v>600</v>
      </c>
      <c r="AF11" s="3">
        <v>330</v>
      </c>
      <c r="AG11" s="2">
        <v>495</v>
      </c>
      <c r="AH11" s="3">
        <v>660</v>
      </c>
      <c r="AI11" s="3">
        <v>-2.7022781585008602</v>
      </c>
      <c r="AJ11" s="3">
        <v>-152.70227815850001</v>
      </c>
      <c r="AK11" s="3">
        <v>-302.70227815850001</v>
      </c>
      <c r="AL11" s="3">
        <v>-32.702278158500803</v>
      </c>
      <c r="AM11" s="3">
        <v>-197.70227815850001</v>
      </c>
      <c r="AN11" s="3">
        <v>-362.70227815850001</v>
      </c>
      <c r="AO11" s="3">
        <v>3.24363113921758E-3</v>
      </c>
      <c r="AP11" s="3">
        <v>5.3239089187618396E-3</v>
      </c>
      <c r="AQ11" s="3">
        <v>-4.8391500277584202E-5</v>
      </c>
      <c r="AR11" s="3">
        <v>-2.7345417097973E-3</v>
      </c>
      <c r="AS11" s="3">
        <v>-5.4206919193170097E-3</v>
      </c>
      <c r="AT11" s="3">
        <v>-5.8562154218152703E-4</v>
      </c>
      <c r="AU11" s="3">
        <v>-3.54038677265321E-3</v>
      </c>
      <c r="AV11" s="3">
        <v>-6.4951520031249002E-3</v>
      </c>
    </row>
    <row r="12" spans="1:48" x14ac:dyDescent="0.2">
      <c r="A12" t="s">
        <v>47</v>
      </c>
      <c r="B12">
        <v>2022</v>
      </c>
      <c r="C12">
        <v>50</v>
      </c>
      <c r="D12" t="s">
        <v>49</v>
      </c>
      <c r="E12" s="3">
        <v>1028033</v>
      </c>
      <c r="F12" s="3">
        <v>1719</v>
      </c>
      <c r="G12" s="3">
        <v>703.5</v>
      </c>
      <c r="H12" s="3">
        <v>137</v>
      </c>
      <c r="I12" s="3">
        <v>64912.5</v>
      </c>
      <c r="J12" s="4">
        <v>1.6998888888888799</v>
      </c>
      <c r="K12" s="2">
        <v>2.18194444444444</v>
      </c>
      <c r="L12" s="2">
        <v>1011.24256487352</v>
      </c>
      <c r="M12" s="2">
        <v>62.7880330999363</v>
      </c>
      <c r="N12" s="3">
        <v>7.2019254500000005E-2</v>
      </c>
      <c r="O12" s="3">
        <v>50.665545540750003</v>
      </c>
      <c r="P12" s="3">
        <v>1360.5218944057599</v>
      </c>
      <c r="Q12" s="3">
        <v>0.1105</v>
      </c>
      <c r="R12" s="3">
        <v>0.1341</v>
      </c>
      <c r="S12" s="3">
        <v>9.7900000000000001E-2</v>
      </c>
      <c r="T12" s="3">
        <v>2.6289087000000002</v>
      </c>
      <c r="U12" s="2">
        <v>111.742303418524</v>
      </c>
      <c r="V12" s="2">
        <v>8.4198752387014597</v>
      </c>
      <c r="W12" s="2">
        <v>133.195093462323</v>
      </c>
      <c r="X12" s="2">
        <v>253.35727211954901</v>
      </c>
      <c r="Y12" s="2">
        <v>0.61430074908703702</v>
      </c>
      <c r="Z12" s="2"/>
      <c r="AA12" s="2">
        <f>Table1[[#This Row],[direct_tax]]*Table1[[#This Row],[kappa]]</f>
        <v>155.63756204968723</v>
      </c>
      <c r="AB12" s="2">
        <f>Table1[[#This Row],[direct_tax]]+Table1[[#This Row],[indirect_cost]]</f>
        <v>408.99483416923624</v>
      </c>
      <c r="AC12" s="3">
        <v>373</v>
      </c>
      <c r="AD12" s="3">
        <v>559</v>
      </c>
      <c r="AE12" s="3">
        <v>745</v>
      </c>
      <c r="AF12" s="3">
        <v>410.3</v>
      </c>
      <c r="AG12" s="2">
        <v>614.9</v>
      </c>
      <c r="AH12" s="2">
        <v>819.5</v>
      </c>
      <c r="AI12" s="2">
        <v>35.994834169237002</v>
      </c>
      <c r="AJ12" s="3">
        <v>-150.005165830762</v>
      </c>
      <c r="AK12" s="3">
        <v>-336.005165830762</v>
      </c>
      <c r="AL12" s="3">
        <v>-1.3051658307629701</v>
      </c>
      <c r="AM12" s="3">
        <v>-205.905165830763</v>
      </c>
      <c r="AN12" s="3">
        <v>-410.50516583076302</v>
      </c>
      <c r="AO12" s="3">
        <v>3.9030583034014902E-3</v>
      </c>
      <c r="AP12" s="3">
        <v>6.3007099429114102E-3</v>
      </c>
      <c r="AQ12" s="3">
        <v>5.5451313952223401E-4</v>
      </c>
      <c r="AR12" s="3">
        <v>-2.3108825854922001E-3</v>
      </c>
      <c r="AS12" s="3">
        <v>-5.1762783105066502E-3</v>
      </c>
      <c r="AT12" s="3">
        <v>-2.01065408166835E-5</v>
      </c>
      <c r="AU12" s="3">
        <v>-3.17204183833257E-3</v>
      </c>
      <c r="AV12" s="3">
        <v>-6.3239771358484503E-3</v>
      </c>
    </row>
    <row r="13" spans="1:48" x14ac:dyDescent="0.2">
      <c r="A13" t="s">
        <v>47</v>
      </c>
      <c r="B13">
        <v>2023</v>
      </c>
      <c r="C13">
        <v>65</v>
      </c>
      <c r="D13" t="s">
        <v>49</v>
      </c>
      <c r="E13" s="3">
        <v>1047929</v>
      </c>
      <c r="F13" s="3">
        <v>2173</v>
      </c>
      <c r="G13" s="3">
        <v>821</v>
      </c>
      <c r="H13" s="3">
        <v>154</v>
      </c>
      <c r="I13" s="3">
        <v>73983</v>
      </c>
      <c r="J13" s="4">
        <v>1.55883333333333</v>
      </c>
      <c r="K13" s="2">
        <v>1.9092499999999999</v>
      </c>
      <c r="L13" s="2">
        <v>1393.99123275954</v>
      </c>
      <c r="M13" s="2">
        <v>80.659945004582895</v>
      </c>
      <c r="N13" s="3">
        <v>7.2019254500000005E-2</v>
      </c>
      <c r="O13" s="2">
        <v>59.127807944499999</v>
      </c>
      <c r="P13" s="2">
        <v>1587.75902673365</v>
      </c>
      <c r="Q13" s="3">
        <v>0.1431</v>
      </c>
      <c r="R13" s="3">
        <v>0.17380000000000001</v>
      </c>
      <c r="S13" s="3">
        <v>0.1239</v>
      </c>
      <c r="T13" s="3">
        <v>3.3270867000000002</v>
      </c>
      <c r="U13" s="2">
        <v>199.48014540789001</v>
      </c>
      <c r="V13" s="2">
        <v>14.0186984417965</v>
      </c>
      <c r="W13" s="2">
        <v>196.72334341230001</v>
      </c>
      <c r="X13" s="2">
        <v>410.22218726198702</v>
      </c>
      <c r="Y13" s="2">
        <v>0.57373845769374399</v>
      </c>
      <c r="Z13" s="2"/>
      <c r="AA13" s="2">
        <f>Table1[[#This Row],[direct_tax]]*Table1[[#This Row],[kappa]]</f>
        <v>235.36024503144665</v>
      </c>
      <c r="AB13" s="2">
        <f>Table1[[#This Row],[direct_tax]]+Table1[[#This Row],[indirect_cost]]</f>
        <v>645.58243229343361</v>
      </c>
      <c r="AC13" s="3">
        <v>488</v>
      </c>
      <c r="AD13" s="3">
        <v>732</v>
      </c>
      <c r="AE13" s="3">
        <v>976</v>
      </c>
      <c r="AF13" s="2">
        <v>536.79999999999995</v>
      </c>
      <c r="AG13" s="3">
        <v>805.2</v>
      </c>
      <c r="AH13" s="2">
        <v>1073.5999999999999</v>
      </c>
      <c r="AI13" s="2">
        <v>157.58243229343401</v>
      </c>
      <c r="AJ13" s="3">
        <v>-86.417567706565293</v>
      </c>
      <c r="AK13" s="3">
        <v>-330.41756770656502</v>
      </c>
      <c r="AL13" s="2">
        <v>108.782432293434</v>
      </c>
      <c r="AM13" s="3">
        <v>-159.61756770656501</v>
      </c>
      <c r="AN13" s="3">
        <v>-428.01756770656499</v>
      </c>
      <c r="AO13" s="3">
        <v>5.5448168803912696E-3</v>
      </c>
      <c r="AP13" s="3">
        <v>8.7260915655412007E-3</v>
      </c>
      <c r="AQ13" s="3">
        <v>2.12998164839807E-3</v>
      </c>
      <c r="AR13" s="3">
        <v>-1.1680733101734899E-3</v>
      </c>
      <c r="AS13" s="3">
        <v>-4.4661282687450503E-3</v>
      </c>
      <c r="AT13" s="3">
        <v>1.4703706566837501E-3</v>
      </c>
      <c r="AU13" s="3">
        <v>-2.1574897977449602E-3</v>
      </c>
      <c r="AV13" s="3">
        <v>-5.7853502521736802E-3</v>
      </c>
    </row>
    <row r="14" spans="1:48" x14ac:dyDescent="0.2">
      <c r="A14" t="s">
        <v>47</v>
      </c>
      <c r="B14">
        <v>2024</v>
      </c>
      <c r="C14">
        <v>80</v>
      </c>
      <c r="D14" t="s">
        <v>49</v>
      </c>
      <c r="E14" s="3">
        <v>1099841</v>
      </c>
      <c r="F14" s="3">
        <v>2173</v>
      </c>
      <c r="G14" s="3">
        <v>821</v>
      </c>
      <c r="H14" s="3">
        <v>154</v>
      </c>
      <c r="I14" s="3">
        <v>73983</v>
      </c>
      <c r="J14" s="4">
        <v>1.56883333333333</v>
      </c>
      <c r="K14" s="2">
        <v>1.6484722222222199</v>
      </c>
      <c r="L14" s="2">
        <v>1385.10570487623</v>
      </c>
      <c r="M14" s="2">
        <v>93.419833178869297</v>
      </c>
      <c r="N14" s="3">
        <v>7.2019254500000005E-2</v>
      </c>
      <c r="O14" s="2">
        <v>59.127807944499999</v>
      </c>
      <c r="P14" s="2">
        <v>1587.75902673365</v>
      </c>
      <c r="Q14" s="3">
        <v>0.17610000000000001</v>
      </c>
      <c r="R14" s="3">
        <v>0.21390000000000001</v>
      </c>
      <c r="S14" s="3">
        <v>0.1525</v>
      </c>
      <c r="T14" s="3">
        <v>4.0950825000000002</v>
      </c>
      <c r="U14" s="2">
        <v>243.91711462870401</v>
      </c>
      <c r="V14" s="2">
        <v>19.982502316960101</v>
      </c>
      <c r="W14" s="2">
        <v>242.133251576882</v>
      </c>
      <c r="X14" s="2">
        <v>506.03286852254797</v>
      </c>
      <c r="Y14" s="2">
        <v>0.53317616630045195</v>
      </c>
      <c r="Z14" s="2"/>
      <c r="AA14" s="2">
        <f>Table1[[#This Row],[direct_tax]]*Table1[[#This Row],[kappa]]</f>
        <v>269.80466486087278</v>
      </c>
      <c r="AB14" s="3">
        <f>Table1[[#This Row],[direct_tax]]+Table1[[#This Row],[indirect_cost]]</f>
        <v>775.8375333834208</v>
      </c>
      <c r="AC14" s="3">
        <v>560</v>
      </c>
      <c r="AD14" s="3">
        <v>840</v>
      </c>
      <c r="AE14" s="3">
        <v>1120</v>
      </c>
      <c r="AF14" s="3">
        <v>672</v>
      </c>
      <c r="AG14" s="3">
        <v>1008</v>
      </c>
      <c r="AH14" s="3">
        <v>1344</v>
      </c>
      <c r="AI14" s="2">
        <v>215.837533383421</v>
      </c>
      <c r="AJ14" s="3">
        <v>-64.162466616578897</v>
      </c>
      <c r="AK14" s="3">
        <v>-344.162466616578</v>
      </c>
      <c r="AL14" s="2">
        <v>103.837533383421</v>
      </c>
      <c r="AM14" s="3">
        <v>-232.162466616578</v>
      </c>
      <c r="AN14" s="3">
        <v>-568.16246661657897</v>
      </c>
      <c r="AO14" s="3">
        <v>6.8398533247171298E-3</v>
      </c>
      <c r="AP14" s="2">
        <v>1.04867000984472E-2</v>
      </c>
      <c r="AQ14" s="3">
        <v>2.9173936361518299E-3</v>
      </c>
      <c r="AR14" s="3">
        <v>-8.6725959499586302E-4</v>
      </c>
      <c r="AS14" s="3">
        <v>-4.6519128261435496E-3</v>
      </c>
      <c r="AT14" s="3">
        <v>1.4035323436927499E-3</v>
      </c>
      <c r="AU14" s="3">
        <v>-3.1380515336844801E-3</v>
      </c>
      <c r="AV14" s="3">
        <v>-7.6796354110617096E-3</v>
      </c>
    </row>
    <row r="15" spans="1:48" x14ac:dyDescent="0.2">
      <c r="A15" t="s">
        <v>47</v>
      </c>
      <c r="B15">
        <v>2025</v>
      </c>
      <c r="C15">
        <v>0</v>
      </c>
      <c r="D15" t="s">
        <v>49</v>
      </c>
      <c r="E15" s="3">
        <v>1099841</v>
      </c>
      <c r="F15" s="3">
        <v>2173</v>
      </c>
      <c r="G15" s="3">
        <v>821</v>
      </c>
      <c r="H15" s="3">
        <v>154</v>
      </c>
      <c r="I15" s="3">
        <v>73983</v>
      </c>
      <c r="J15" s="4">
        <v>1.39052777777777</v>
      </c>
      <c r="K15" s="2">
        <v>1.57161111111111</v>
      </c>
      <c r="L15" s="2">
        <v>1562.7159951257499</v>
      </c>
      <c r="M15" s="2">
        <v>97.988617483827596</v>
      </c>
      <c r="N15" s="3">
        <v>7.2019254500000005E-2</v>
      </c>
      <c r="O15" s="2">
        <v>59.127807944499999</v>
      </c>
      <c r="P15" s="2">
        <v>1587.75902673365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/>
      <c r="AA15" s="3">
        <f>Table1[[#This Row],[direct_tax]]*Table1[[#This Row],[kappa]]</f>
        <v>0</v>
      </c>
      <c r="AB15" s="3">
        <f>Table1[[#This Row],[direct_tax]]+Table1[[#This Row],[indirect_cost]]</f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</row>
    <row r="16" spans="1:48" x14ac:dyDescent="0.2">
      <c r="A16" t="s">
        <v>47</v>
      </c>
      <c r="B16">
        <v>2019</v>
      </c>
      <c r="C16">
        <v>20</v>
      </c>
      <c r="D16" t="s">
        <v>50</v>
      </c>
      <c r="E16" s="3">
        <v>1102064</v>
      </c>
      <c r="F16" s="3">
        <v>2696</v>
      </c>
      <c r="G16" s="3">
        <v>839</v>
      </c>
      <c r="H16" s="3">
        <v>149</v>
      </c>
      <c r="I16" s="3">
        <v>80919</v>
      </c>
      <c r="J16" s="4">
        <v>1.2092499999999999</v>
      </c>
      <c r="K16" s="2">
        <v>1.3276666666666599</v>
      </c>
      <c r="L16" s="2">
        <v>2229.4810833161</v>
      </c>
      <c r="M16" s="2">
        <v>112.226964599548</v>
      </c>
      <c r="N16" s="3">
        <v>7.2019254500000005E-2</v>
      </c>
      <c r="O16" s="3">
        <v>60.424154525500001</v>
      </c>
      <c r="P16" s="2">
        <v>1622.5698214732499</v>
      </c>
      <c r="Q16" s="3">
        <v>4.4200000000000003E-2</v>
      </c>
      <c r="R16" s="3">
        <v>5.3699999999999998E-2</v>
      </c>
      <c r="S16" s="3">
        <v>3.9100000000000003E-2</v>
      </c>
      <c r="T16" s="2">
        <v>1.0499522999999999</v>
      </c>
      <c r="U16" s="2">
        <v>98.543063882571801</v>
      </c>
      <c r="V16" s="2">
        <v>6.0265879989957298</v>
      </c>
      <c r="W16" s="2">
        <v>63.442480019604098</v>
      </c>
      <c r="X16" s="2">
        <v>168.01213190117099</v>
      </c>
      <c r="Y16" s="2">
        <v>0.69542533187362199</v>
      </c>
      <c r="Z16" s="2"/>
      <c r="AA16" s="2">
        <f>Table1[[#This Row],[direct_tax]]*Table1[[#This Row],[kappa]]</f>
        <v>116.83989258616658</v>
      </c>
      <c r="AB16" s="2">
        <f>Table1[[#This Row],[direct_tax]]+Table1[[#This Row],[indirect_cost]]</f>
        <v>284.85202448733759</v>
      </c>
      <c r="AC16" s="3">
        <v>154</v>
      </c>
      <c r="AD16" s="3">
        <v>231</v>
      </c>
      <c r="AE16" s="3">
        <v>307</v>
      </c>
      <c r="AF16" s="3">
        <v>169.4</v>
      </c>
      <c r="AG16" s="2">
        <v>254.1</v>
      </c>
      <c r="AH16" s="2">
        <v>337.7</v>
      </c>
      <c r="AI16" s="2">
        <v>130.85202448733801</v>
      </c>
      <c r="AJ16" s="2">
        <v>53.852024487338802</v>
      </c>
      <c r="AK16" s="3">
        <v>-22.147975512661102</v>
      </c>
      <c r="AL16" s="2">
        <v>115.45202448733799</v>
      </c>
      <c r="AM16" s="2">
        <v>30.752024487338801</v>
      </c>
      <c r="AN16" s="3">
        <v>-52.847975512661101</v>
      </c>
      <c r="AO16" s="3">
        <v>2.0763001507825298E-3</v>
      </c>
      <c r="AP16" s="3">
        <v>3.5202118722097199E-3</v>
      </c>
      <c r="AQ16" s="3">
        <v>1.61707416660288E-3</v>
      </c>
      <c r="AR16" s="3">
        <v>6.65505313799464E-4</v>
      </c>
      <c r="AS16" s="3">
        <v>-2.7370550195456001E-4</v>
      </c>
      <c r="AT16" s="3">
        <v>1.4267603960421999E-3</v>
      </c>
      <c r="AU16" s="3">
        <v>3.8003465795843802E-4</v>
      </c>
      <c r="AV16" s="3">
        <v>-6.5309723937098999E-4</v>
      </c>
    </row>
    <row r="17" spans="1:48" x14ac:dyDescent="0.2">
      <c r="A17" t="s">
        <v>47</v>
      </c>
      <c r="B17">
        <v>2020</v>
      </c>
      <c r="C17">
        <v>30</v>
      </c>
      <c r="D17" t="s">
        <v>50</v>
      </c>
      <c r="E17" s="3">
        <v>1097704</v>
      </c>
      <c r="F17" s="3">
        <v>2151</v>
      </c>
      <c r="G17" s="3">
        <v>807.5</v>
      </c>
      <c r="H17" s="3">
        <v>147</v>
      </c>
      <c r="I17" s="3">
        <v>81100.5</v>
      </c>
      <c r="J17" s="4">
        <v>1.0371666666666599</v>
      </c>
      <c r="K17" s="2">
        <v>1.17475</v>
      </c>
      <c r="L17" s="2">
        <v>2073.9193315121302</v>
      </c>
      <c r="M17" s="2">
        <v>125.13300702277</v>
      </c>
      <c r="N17" s="3">
        <v>7.2019254500000005E-2</v>
      </c>
      <c r="O17" s="3">
        <v>58.155548008750003</v>
      </c>
      <c r="P17" s="2">
        <v>1561.6509306789601</v>
      </c>
      <c r="Q17" s="3">
        <v>6.6299999999999998E-2</v>
      </c>
      <c r="R17" s="3">
        <v>8.0500000000000002E-2</v>
      </c>
      <c r="S17" s="3">
        <v>5.8700000000000002E-2</v>
      </c>
      <c r="T17" s="2">
        <v>1.5762711</v>
      </c>
      <c r="U17" s="2">
        <v>137.500851679254</v>
      </c>
      <c r="V17" s="2">
        <v>10.073207065332999</v>
      </c>
      <c r="W17" s="3">
        <v>91.668909630855197</v>
      </c>
      <c r="X17" s="2">
        <v>239.24296837544199</v>
      </c>
      <c r="Y17" s="2">
        <v>0.66838380427809396</v>
      </c>
      <c r="Z17" s="2"/>
      <c r="AA17" s="2">
        <f>Table1[[#This Row],[direct_tax]]*Table1[[#This Row],[kappa]]</f>
        <v>159.90612534956165</v>
      </c>
      <c r="AB17" s="2">
        <f>Table1[[#This Row],[direct_tax]]+Table1[[#This Row],[indirect_cost]]</f>
        <v>399.14909372500364</v>
      </c>
      <c r="AC17" s="3">
        <v>224</v>
      </c>
      <c r="AD17" s="3">
        <v>336</v>
      </c>
      <c r="AE17" s="3">
        <v>448</v>
      </c>
      <c r="AF17" s="2">
        <v>246.4</v>
      </c>
      <c r="AG17" s="3">
        <v>369.6</v>
      </c>
      <c r="AH17" s="2">
        <v>492.8</v>
      </c>
      <c r="AI17" s="2">
        <v>175.14909372500401</v>
      </c>
      <c r="AJ17" s="2">
        <v>63.149093725004597</v>
      </c>
      <c r="AK17" s="3">
        <v>-48.850906274995303</v>
      </c>
      <c r="AL17" s="2">
        <v>152.749093725004</v>
      </c>
      <c r="AM17" s="2">
        <v>29.5490937250046</v>
      </c>
      <c r="AN17" s="3">
        <v>-93.650906274995407</v>
      </c>
      <c r="AO17" s="3">
        <v>2.9499567619859601E-3</v>
      </c>
      <c r="AP17" s="3">
        <v>4.92166008501802E-3</v>
      </c>
      <c r="AQ17" s="3">
        <v>2.1596549185887198E-3</v>
      </c>
      <c r="AR17" s="3">
        <v>7.7865233537406805E-4</v>
      </c>
      <c r="AS17" s="3">
        <v>-6.0235024784058397E-4</v>
      </c>
      <c r="AT17" s="3">
        <v>1.8834544019457899E-3</v>
      </c>
      <c r="AU17" s="3">
        <v>3.6435156040967202E-4</v>
      </c>
      <c r="AV17" s="3">
        <v>-1.1547512811264399E-3</v>
      </c>
    </row>
    <row r="18" spans="1:48" x14ac:dyDescent="0.2">
      <c r="A18" t="s">
        <v>47</v>
      </c>
      <c r="B18">
        <v>2021</v>
      </c>
      <c r="C18">
        <v>40</v>
      </c>
      <c r="D18" t="s">
        <v>50</v>
      </c>
      <c r="E18" s="3">
        <v>1100936</v>
      </c>
      <c r="F18" s="3">
        <v>1606</v>
      </c>
      <c r="G18" s="3">
        <v>776</v>
      </c>
      <c r="H18" s="3">
        <v>145</v>
      </c>
      <c r="I18" s="3">
        <v>81282</v>
      </c>
      <c r="J18" s="4">
        <v>1.3430555555555499</v>
      </c>
      <c r="K18" s="2">
        <v>1.40994444444444</v>
      </c>
      <c r="L18" s="2">
        <v>1195.78076525336</v>
      </c>
      <c r="M18" s="2">
        <v>102.840931478781</v>
      </c>
      <c r="N18" s="3">
        <v>7.2019254500000005E-2</v>
      </c>
      <c r="O18" s="2">
        <v>55.886941491999998</v>
      </c>
      <c r="P18" s="2">
        <v>1500.73203988467</v>
      </c>
      <c r="Q18" s="3">
        <v>8.8400000000000006E-2</v>
      </c>
      <c r="R18" s="3">
        <v>0.10730000000000001</v>
      </c>
      <c r="S18" s="3">
        <v>7.8299999999999995E-2</v>
      </c>
      <c r="T18" s="3">
        <v>2.1025898999999999</v>
      </c>
      <c r="U18" s="2">
        <v>105.70701964839699</v>
      </c>
      <c r="V18" s="2">
        <v>11.034831947673201</v>
      </c>
      <c r="W18" s="2">
        <v>117.50731872297</v>
      </c>
      <c r="X18" s="2">
        <v>234.24917031903999</v>
      </c>
      <c r="Y18" s="2">
        <v>0.64134227668256505</v>
      </c>
      <c r="Z18" s="2"/>
      <c r="AA18" s="2">
        <f>Table1[[#This Row],[direct_tax]]*Table1[[#This Row],[kappa]]</f>
        <v>150.23389620341504</v>
      </c>
      <c r="AB18" s="2">
        <f>Table1[[#This Row],[direct_tax]]+Table1[[#This Row],[indirect_cost]]</f>
        <v>384.48306652245503</v>
      </c>
      <c r="AC18" s="3">
        <v>300</v>
      </c>
      <c r="AD18" s="3">
        <v>450</v>
      </c>
      <c r="AE18" s="3">
        <v>600</v>
      </c>
      <c r="AF18" s="3">
        <v>330</v>
      </c>
      <c r="AG18" s="2">
        <v>495</v>
      </c>
      <c r="AH18" s="3">
        <v>660</v>
      </c>
      <c r="AI18" s="2">
        <v>84.483066522456099</v>
      </c>
      <c r="AJ18" s="3">
        <v>-65.516933477543802</v>
      </c>
      <c r="AK18" s="3">
        <v>-215.51693347754301</v>
      </c>
      <c r="AL18" s="2">
        <v>54.483066522456099</v>
      </c>
      <c r="AM18" s="3">
        <v>-110.51693347754301</v>
      </c>
      <c r="AN18" s="3">
        <v>-275.51693347754298</v>
      </c>
      <c r="AO18" s="3">
        <v>2.8819316739135399E-3</v>
      </c>
      <c r="AP18" s="3">
        <v>4.7302362949048502E-3</v>
      </c>
      <c r="AQ18" s="3">
        <v>1.0393822312745201E-3</v>
      </c>
      <c r="AR18" s="3">
        <v>-8.0604480054063401E-4</v>
      </c>
      <c r="AS18" s="3">
        <v>-2.6514718323557901E-3</v>
      </c>
      <c r="AT18" s="3">
        <v>6.7029682491149395E-4</v>
      </c>
      <c r="AU18" s="3">
        <v>-1.3596729100851801E-3</v>
      </c>
      <c r="AV18" s="3">
        <v>-3.3896426450818599E-3</v>
      </c>
    </row>
    <row r="19" spans="1:48" x14ac:dyDescent="0.2">
      <c r="A19" t="s">
        <v>47</v>
      </c>
      <c r="B19">
        <v>2022</v>
      </c>
      <c r="C19">
        <v>50</v>
      </c>
      <c r="D19" t="s">
        <v>50</v>
      </c>
      <c r="E19" s="3">
        <v>1076845</v>
      </c>
      <c r="F19" s="3">
        <v>1862</v>
      </c>
      <c r="G19" s="3">
        <v>829.5</v>
      </c>
      <c r="H19" s="3">
        <v>145.5</v>
      </c>
      <c r="I19" s="3">
        <v>88132</v>
      </c>
      <c r="J19" s="4">
        <v>1.6998888888888799</v>
      </c>
      <c r="K19" s="2">
        <v>2.18194444444444</v>
      </c>
      <c r="L19" s="2">
        <v>1095.36571017713</v>
      </c>
      <c r="M19" s="3">
        <v>66.683640992998093</v>
      </c>
      <c r="N19" s="3">
        <v>7.2019254500000005E-2</v>
      </c>
      <c r="O19" s="3">
        <v>59.73997160775</v>
      </c>
      <c r="P19" s="2">
        <v>1604.1974575829099</v>
      </c>
      <c r="Q19" s="3">
        <v>0.1105</v>
      </c>
      <c r="R19" s="3">
        <v>0.1341</v>
      </c>
      <c r="S19" s="3">
        <v>9.7900000000000001E-2</v>
      </c>
      <c r="T19" s="3">
        <v>2.6289087000000002</v>
      </c>
      <c r="U19" s="2">
        <v>121.03791097457299</v>
      </c>
      <c r="V19" s="2">
        <v>8.9422762571610406</v>
      </c>
      <c r="W19" s="2">
        <v>157.050931097366</v>
      </c>
      <c r="X19" s="2">
        <v>287.03111832910099</v>
      </c>
      <c r="Y19" s="2">
        <v>0.61430074908703702</v>
      </c>
      <c r="Z19" s="2"/>
      <c r="AA19" s="2">
        <f>Table1[[#This Row],[direct_tax]]*Table1[[#This Row],[kappa]]</f>
        <v>176.32343100085671</v>
      </c>
      <c r="AB19" s="2">
        <f>Table1[[#This Row],[direct_tax]]+Table1[[#This Row],[indirect_cost]]</f>
        <v>463.35454932995771</v>
      </c>
      <c r="AC19" s="3">
        <v>373</v>
      </c>
      <c r="AD19" s="3">
        <v>559</v>
      </c>
      <c r="AE19" s="3">
        <v>745</v>
      </c>
      <c r="AF19" s="3">
        <v>410.3</v>
      </c>
      <c r="AG19" s="2">
        <v>614.9</v>
      </c>
      <c r="AH19" s="2">
        <v>819.5</v>
      </c>
      <c r="AI19" s="2">
        <v>90.354549329958601</v>
      </c>
      <c r="AJ19" s="3">
        <v>-95.645450670041299</v>
      </c>
      <c r="AK19" s="3">
        <v>-281.64545067004099</v>
      </c>
      <c r="AL19" s="2">
        <v>53.054549329958597</v>
      </c>
      <c r="AM19" s="3">
        <v>-151.54545067004099</v>
      </c>
      <c r="AN19" s="3">
        <v>-356.14545067004099</v>
      </c>
      <c r="AO19" s="3">
        <v>3.2568320057311901E-3</v>
      </c>
      <c r="AP19" s="3">
        <v>5.2575063465024998E-3</v>
      </c>
      <c r="AQ19" s="3">
        <v>1.0252184147637399E-3</v>
      </c>
      <c r="AR19" s="3">
        <v>-1.0852522428861399E-3</v>
      </c>
      <c r="AS19" s="3">
        <v>-3.1957229005360201E-3</v>
      </c>
      <c r="AT19" s="3">
        <v>6.0198962158987195E-4</v>
      </c>
      <c r="AU19" s="3">
        <v>-1.7195281018249999E-3</v>
      </c>
      <c r="AV19" s="3">
        <v>-4.04104582523988E-3</v>
      </c>
    </row>
    <row r="20" spans="1:48" x14ac:dyDescent="0.2">
      <c r="A20" t="s">
        <v>47</v>
      </c>
      <c r="B20">
        <v>2023</v>
      </c>
      <c r="C20">
        <v>65</v>
      </c>
      <c r="D20" t="s">
        <v>50</v>
      </c>
      <c r="E20" s="3">
        <v>1133997</v>
      </c>
      <c r="F20" s="3">
        <v>2118</v>
      </c>
      <c r="G20" s="3">
        <v>883</v>
      </c>
      <c r="H20" s="3">
        <v>146</v>
      </c>
      <c r="I20" s="3">
        <v>94982</v>
      </c>
      <c r="J20" s="4">
        <v>1.55883333333333</v>
      </c>
      <c r="K20" s="2">
        <v>1.9092499999999999</v>
      </c>
      <c r="L20" s="2">
        <v>1358.708435796</v>
      </c>
      <c r="M20" s="2">
        <v>76.4698179913578</v>
      </c>
      <c r="N20" s="3">
        <v>7.2019254500000005E-2</v>
      </c>
      <c r="O20" s="3">
        <v>63.593001723500002</v>
      </c>
      <c r="P20" s="2">
        <v>1707.66287528114</v>
      </c>
      <c r="Q20" s="3">
        <v>0.1431</v>
      </c>
      <c r="R20" s="3">
        <v>0.17380000000000001</v>
      </c>
      <c r="S20" s="3">
        <v>0.1239</v>
      </c>
      <c r="T20" s="3">
        <v>3.3270867000000002</v>
      </c>
      <c r="U20" s="2">
        <v>194.43117716240701</v>
      </c>
      <c r="V20" s="2">
        <v>13.290454366897899</v>
      </c>
      <c r="W20" s="2">
        <v>211.57943024733299</v>
      </c>
      <c r="X20" s="2">
        <v>419.30106177663902</v>
      </c>
      <c r="Y20" s="2">
        <v>0.57373845769374399</v>
      </c>
      <c r="Z20" s="2"/>
      <c r="AA20" s="2">
        <f>Table1[[#This Row],[direct_tax]]*Table1[[#This Row],[kappa]]</f>
        <v>240.56914449307814</v>
      </c>
      <c r="AB20" s="2">
        <f>Table1[[#This Row],[direct_tax]]+Table1[[#This Row],[indirect_cost]]</f>
        <v>659.87020626971719</v>
      </c>
      <c r="AC20" s="3">
        <v>488</v>
      </c>
      <c r="AD20" s="3">
        <v>732</v>
      </c>
      <c r="AE20" s="3">
        <v>976</v>
      </c>
      <c r="AF20" s="2">
        <v>536.79999999999995</v>
      </c>
      <c r="AG20" s="3">
        <v>805.2</v>
      </c>
      <c r="AH20" s="2">
        <v>1073.5999999999999</v>
      </c>
      <c r="AI20" s="2">
        <v>171.87020626971801</v>
      </c>
      <c r="AJ20" s="3">
        <v>-72.129793730281307</v>
      </c>
      <c r="AK20" s="3">
        <v>-316.12979373028099</v>
      </c>
      <c r="AL20" s="2">
        <v>123.070206269718</v>
      </c>
      <c r="AM20" s="3">
        <v>-145.32979373028101</v>
      </c>
      <c r="AN20" s="3">
        <v>-413.72979373028102</v>
      </c>
      <c r="AO20" s="3">
        <v>4.4145318247314196E-3</v>
      </c>
      <c r="AP20" s="3">
        <v>6.9473185052927704E-3</v>
      </c>
      <c r="AQ20" s="3">
        <v>1.80950291918172E-3</v>
      </c>
      <c r="AR20" s="3">
        <v>-7.5940487387380002E-4</v>
      </c>
      <c r="AS20" s="3">
        <v>-3.3283126669293199E-3</v>
      </c>
      <c r="AT20" s="3">
        <v>1.2957213605706099E-3</v>
      </c>
      <c r="AU20" s="3">
        <v>-1.5300772117904501E-3</v>
      </c>
      <c r="AV20" s="3">
        <v>-4.3558757841515297E-3</v>
      </c>
    </row>
    <row r="21" spans="1:48" x14ac:dyDescent="0.2">
      <c r="A21" t="s">
        <v>47</v>
      </c>
      <c r="B21">
        <v>2024</v>
      </c>
      <c r="C21">
        <v>80</v>
      </c>
      <c r="D21" t="s">
        <v>50</v>
      </c>
      <c r="E21" s="3">
        <v>1204098</v>
      </c>
      <c r="F21" s="3">
        <v>2118</v>
      </c>
      <c r="G21" s="3">
        <v>883</v>
      </c>
      <c r="H21" s="3">
        <v>146</v>
      </c>
      <c r="I21" s="3">
        <v>94982</v>
      </c>
      <c r="J21" s="4">
        <v>1.56883333333333</v>
      </c>
      <c r="K21" s="2">
        <v>1.6484722222222199</v>
      </c>
      <c r="L21" s="2">
        <v>1350.0478062254299</v>
      </c>
      <c r="M21" s="2">
        <v>88.566854831914995</v>
      </c>
      <c r="N21" s="3">
        <v>7.2019254500000005E-2</v>
      </c>
      <c r="O21" s="3">
        <v>63.593001723500002</v>
      </c>
      <c r="P21" s="2">
        <v>1707.66287528114</v>
      </c>
      <c r="Q21" s="3">
        <v>0.17610000000000001</v>
      </c>
      <c r="R21" s="3">
        <v>0.21390000000000001</v>
      </c>
      <c r="S21" s="3">
        <v>0.1525</v>
      </c>
      <c r="T21" s="3">
        <v>4.0950825000000002</v>
      </c>
      <c r="U21" s="2">
        <v>237.74341867629801</v>
      </c>
      <c r="V21" s="2">
        <v>18.944450248546602</v>
      </c>
      <c r="W21" s="2">
        <v>260.41858848037401</v>
      </c>
      <c r="X21" s="3">
        <v>517.10645740522</v>
      </c>
      <c r="Y21" s="2">
        <v>0.53317616630045195</v>
      </c>
      <c r="Z21" s="2"/>
      <c r="AA21" s="2">
        <f>Table1[[#This Row],[direct_tax]]*Table1[[#This Row],[kappa]]</f>
        <v>275.70883852852313</v>
      </c>
      <c r="AB21" s="2">
        <f>Table1[[#This Row],[direct_tax]]+Table1[[#This Row],[indirect_cost]]</f>
        <v>792.81529593374307</v>
      </c>
      <c r="AC21" s="3">
        <v>560</v>
      </c>
      <c r="AD21" s="3">
        <v>840</v>
      </c>
      <c r="AE21" s="3">
        <v>1120</v>
      </c>
      <c r="AF21" s="3">
        <v>672</v>
      </c>
      <c r="AG21" s="3">
        <v>1008</v>
      </c>
      <c r="AH21" s="3">
        <v>1344</v>
      </c>
      <c r="AI21" s="2">
        <v>232.81529593374299</v>
      </c>
      <c r="AJ21" s="3">
        <v>-47.1847040662567</v>
      </c>
      <c r="AK21" s="3">
        <v>-327.18470406625602</v>
      </c>
      <c r="AL21" s="2">
        <v>120.815295933743</v>
      </c>
      <c r="AM21" s="3">
        <v>-215.18470406625599</v>
      </c>
      <c r="AN21" s="3">
        <v>-551.18470406625602</v>
      </c>
      <c r="AO21" s="3">
        <v>5.4442574109328E-3</v>
      </c>
      <c r="AP21" s="3">
        <v>8.3470057056467799E-3</v>
      </c>
      <c r="AQ21" s="3">
        <v>2.4511517543718102E-3</v>
      </c>
      <c r="AR21" s="3">
        <v>-4.9677522126567795E-4</v>
      </c>
      <c r="AS21" s="3">
        <v>-3.44470219690316E-3</v>
      </c>
      <c r="AT21" s="3">
        <v>1.2719809641168101E-3</v>
      </c>
      <c r="AU21" s="3">
        <v>-2.2655314066481699E-3</v>
      </c>
      <c r="AV21" s="3">
        <v>-5.8030437774131503E-3</v>
      </c>
    </row>
    <row r="22" spans="1:48" x14ac:dyDescent="0.2">
      <c r="A22" t="s">
        <v>47</v>
      </c>
      <c r="B22">
        <v>2025</v>
      </c>
      <c r="C22">
        <v>0</v>
      </c>
      <c r="D22" t="s">
        <v>50</v>
      </c>
      <c r="E22" s="3">
        <v>1204098</v>
      </c>
      <c r="F22" s="3">
        <v>2118</v>
      </c>
      <c r="G22" s="3">
        <v>883</v>
      </c>
      <c r="H22" s="3">
        <v>146</v>
      </c>
      <c r="I22" s="3">
        <v>94982</v>
      </c>
      <c r="J22" s="4">
        <v>1.39052777777777</v>
      </c>
      <c r="K22" s="2">
        <v>1.57161111111111</v>
      </c>
      <c r="L22" s="2">
        <v>1523.1626680516899</v>
      </c>
      <c r="M22" s="2">
        <v>92.898299692459901</v>
      </c>
      <c r="N22" s="3">
        <v>7.2019254500000005E-2</v>
      </c>
      <c r="O22" s="3">
        <v>63.593001723500002</v>
      </c>
      <c r="P22" s="2">
        <v>1707.66287528114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/>
      <c r="AA22" s="3">
        <f>Table1[[#This Row],[direct_tax]]*Table1[[#This Row],[kappa]]</f>
        <v>0</v>
      </c>
      <c r="AB22" s="3">
        <f>Table1[[#This Row],[direct_tax]]+Table1[[#This Row],[indirect_cost]]</f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</row>
    <row r="23" spans="1:48" x14ac:dyDescent="0.2">
      <c r="A23" t="s">
        <v>47</v>
      </c>
      <c r="B23">
        <v>2019</v>
      </c>
      <c r="C23">
        <v>20</v>
      </c>
      <c r="D23" t="s">
        <v>51</v>
      </c>
      <c r="E23" s="3">
        <v>1196578</v>
      </c>
      <c r="F23" s="3">
        <v>3003</v>
      </c>
      <c r="G23" s="3">
        <v>989</v>
      </c>
      <c r="H23" s="3">
        <v>88</v>
      </c>
      <c r="I23" s="3">
        <v>115686</v>
      </c>
      <c r="J23" s="4">
        <v>1.2092499999999999</v>
      </c>
      <c r="K23" s="2">
        <v>1.3276666666666599</v>
      </c>
      <c r="L23" s="2">
        <v>2483.3574529667098</v>
      </c>
      <c r="M23" s="2">
        <v>66.281697213155894</v>
      </c>
      <c r="N23" s="3">
        <v>7.2019254500000005E-2</v>
      </c>
      <c r="O23" s="2">
        <v>71.227042700499993</v>
      </c>
      <c r="P23" s="2">
        <v>1912.6597776365199</v>
      </c>
      <c r="Q23" s="3">
        <v>4.4200000000000003E-2</v>
      </c>
      <c r="R23" s="3">
        <v>5.3699999999999998E-2</v>
      </c>
      <c r="S23" s="3">
        <v>3.9100000000000003E-2</v>
      </c>
      <c r="T23" s="2">
        <v>1.0499522999999999</v>
      </c>
      <c r="U23" s="2">
        <v>109.764399421128</v>
      </c>
      <c r="V23" s="2">
        <v>3.5593271403464701</v>
      </c>
      <c r="W23" s="3">
        <v>74.784997305588206</v>
      </c>
      <c r="X23" s="2">
        <v>188.10872386706299</v>
      </c>
      <c r="Y23" s="2">
        <v>0.69542533187362199</v>
      </c>
      <c r="Z23" s="2"/>
      <c r="AA23" s="2">
        <f>Table1[[#This Row],[direct_tax]]*Table1[[#This Row],[kappa]]</f>
        <v>130.8155717235758</v>
      </c>
      <c r="AB23" s="2">
        <f>Table1[[#This Row],[direct_tax]]+Table1[[#This Row],[indirect_cost]]</f>
        <v>318.92429559063879</v>
      </c>
      <c r="AC23" s="3">
        <v>154</v>
      </c>
      <c r="AD23" s="3">
        <v>231</v>
      </c>
      <c r="AE23" s="3">
        <v>307</v>
      </c>
      <c r="AF23" s="3">
        <v>169.4</v>
      </c>
      <c r="AG23" s="2">
        <v>254.1</v>
      </c>
      <c r="AH23" s="2">
        <v>337.7</v>
      </c>
      <c r="AI23" s="2">
        <v>164.92429559063899</v>
      </c>
      <c r="AJ23" s="3">
        <v>87.924295590639701</v>
      </c>
      <c r="AK23" s="2">
        <v>11.9242955906397</v>
      </c>
      <c r="AL23" s="2">
        <v>149.52429559063901</v>
      </c>
      <c r="AM23" s="2">
        <v>64.824295590639593</v>
      </c>
      <c r="AN23" s="3">
        <v>-18.775704409360301</v>
      </c>
      <c r="AO23" s="3">
        <v>1.62602842061324E-3</v>
      </c>
      <c r="AP23" s="3">
        <v>2.7568097746541401E-3</v>
      </c>
      <c r="AQ23" s="3">
        <v>1.42562017522119E-3</v>
      </c>
      <c r="AR23" s="3">
        <v>7.6002537550472497E-4</v>
      </c>
      <c r="AS23" s="3">
        <v>1.03074664096257E-4</v>
      </c>
      <c r="AT23" s="3">
        <v>1.2925012152779E-3</v>
      </c>
      <c r="AU23" s="3">
        <v>5.6034693558978303E-4</v>
      </c>
      <c r="AV23" s="3">
        <v>-1.62298846959531E-4</v>
      </c>
    </row>
    <row r="24" spans="1:48" x14ac:dyDescent="0.2">
      <c r="A24" t="s">
        <v>47</v>
      </c>
      <c r="B24">
        <v>2020</v>
      </c>
      <c r="C24">
        <v>30</v>
      </c>
      <c r="D24" t="s">
        <v>51</v>
      </c>
      <c r="E24" s="3">
        <v>1230810</v>
      </c>
      <c r="F24" s="3">
        <v>2990</v>
      </c>
      <c r="G24" s="3">
        <v>1003</v>
      </c>
      <c r="H24" s="3">
        <v>132.5</v>
      </c>
      <c r="I24" s="3">
        <v>116238</v>
      </c>
      <c r="J24" s="4">
        <v>1.0371666666666599</v>
      </c>
      <c r="K24" s="2">
        <v>1.17475</v>
      </c>
      <c r="L24" s="2">
        <v>2882.8539289731598</v>
      </c>
      <c r="M24" s="2">
        <v>112.78995530964001</v>
      </c>
      <c r="N24" s="3">
        <v>7.2019254500000005E-2</v>
      </c>
      <c r="O24" s="3">
        <v>72.235312263500006</v>
      </c>
      <c r="P24" s="2">
        <v>1939.73484021176</v>
      </c>
      <c r="Q24" s="3">
        <v>6.6299999999999998E-2</v>
      </c>
      <c r="R24" s="3">
        <v>8.0500000000000002E-2</v>
      </c>
      <c r="S24" s="3">
        <v>5.8700000000000002E-2</v>
      </c>
      <c r="T24" s="2">
        <v>1.5762711</v>
      </c>
      <c r="U24" s="2">
        <v>191.13321549092001</v>
      </c>
      <c r="V24" s="2">
        <v>9.0795914024260398</v>
      </c>
      <c r="W24" s="2">
        <v>113.86243512043001</v>
      </c>
      <c r="X24" s="2">
        <v>314.07524201377697</v>
      </c>
      <c r="Y24" s="2">
        <v>0.66838380427809396</v>
      </c>
      <c r="Z24" s="2"/>
      <c r="AA24" s="2">
        <f>Table1[[#This Row],[direct_tax]]*Table1[[#This Row],[kappa]]</f>
        <v>209.9228050867313</v>
      </c>
      <c r="AB24" s="2">
        <f>Table1[[#This Row],[direct_tax]]+Table1[[#This Row],[indirect_cost]]</f>
        <v>523.9980471005083</v>
      </c>
      <c r="AC24" s="3">
        <v>224</v>
      </c>
      <c r="AD24" s="3">
        <v>336</v>
      </c>
      <c r="AE24" s="3">
        <v>448</v>
      </c>
      <c r="AF24" s="2">
        <v>246.4</v>
      </c>
      <c r="AG24" s="3">
        <v>369.6</v>
      </c>
      <c r="AH24" s="2">
        <v>492.8</v>
      </c>
      <c r="AI24" s="2">
        <v>299.99804710050898</v>
      </c>
      <c r="AJ24" s="2">
        <v>187.99804710050901</v>
      </c>
      <c r="AK24" s="2">
        <v>75.998047100509197</v>
      </c>
      <c r="AL24" s="2">
        <v>277.59804710050901</v>
      </c>
      <c r="AM24" s="2">
        <v>154.39804710050899</v>
      </c>
      <c r="AN24" s="2">
        <v>31.1980471005091</v>
      </c>
      <c r="AO24" s="3">
        <v>2.7020014282229301E-3</v>
      </c>
      <c r="AP24" s="3">
        <v>4.5079754219834204E-3</v>
      </c>
      <c r="AQ24" s="3">
        <v>2.5808947770996501E-3</v>
      </c>
      <c r="AR24" s="3">
        <v>1.6173544546577599E-3</v>
      </c>
      <c r="AS24" s="3">
        <v>6.5381413221587698E-4</v>
      </c>
      <c r="AT24" s="3">
        <v>2.3881867126112699E-3</v>
      </c>
      <c r="AU24" s="3">
        <v>1.3282923579251899E-3</v>
      </c>
      <c r="AV24" s="3">
        <v>2.6839800323912201E-4</v>
      </c>
    </row>
    <row r="25" spans="1:48" x14ac:dyDescent="0.2">
      <c r="A25" t="s">
        <v>47</v>
      </c>
      <c r="B25">
        <v>2021</v>
      </c>
      <c r="C25">
        <v>40</v>
      </c>
      <c r="D25" t="s">
        <v>51</v>
      </c>
      <c r="E25" s="3">
        <v>1203756</v>
      </c>
      <c r="F25" s="3">
        <v>2977</v>
      </c>
      <c r="G25" s="3">
        <v>1017</v>
      </c>
      <c r="H25" s="3">
        <v>177</v>
      </c>
      <c r="I25" s="3">
        <v>116790</v>
      </c>
      <c r="J25" s="4">
        <v>1.3430555555555499</v>
      </c>
      <c r="K25" s="2">
        <v>1.40994444444444</v>
      </c>
      <c r="L25" s="2">
        <v>2216.5873836607998</v>
      </c>
      <c r="M25" s="2">
        <v>125.536861184443</v>
      </c>
      <c r="N25" s="3">
        <v>7.2019254500000005E-2</v>
      </c>
      <c r="O25" s="3">
        <v>73.243581826500005</v>
      </c>
      <c r="P25" s="2">
        <v>1966.8099027870001</v>
      </c>
      <c r="Q25" s="3">
        <v>8.8400000000000006E-2</v>
      </c>
      <c r="R25" s="3">
        <v>0.10730000000000001</v>
      </c>
      <c r="S25" s="3">
        <v>7.8299999999999995E-2</v>
      </c>
      <c r="T25" s="3">
        <v>2.1025898999999999</v>
      </c>
      <c r="U25" s="2">
        <v>195.94632471561499</v>
      </c>
      <c r="V25" s="2">
        <v>13.4701052050908</v>
      </c>
      <c r="W25" s="2">
        <v>154.00121538822199</v>
      </c>
      <c r="X25" s="2">
        <v>363.417645308928</v>
      </c>
      <c r="Y25" s="2">
        <v>0.64134227668256505</v>
      </c>
      <c r="Z25" s="2"/>
      <c r="AA25" s="2">
        <f>Table1[[#This Row],[direct_tax]]*Table1[[#This Row],[kappa]]</f>
        <v>233.07510002904479</v>
      </c>
      <c r="AB25" s="3">
        <f>Table1[[#This Row],[direct_tax]]+Table1[[#This Row],[indirect_cost]]</f>
        <v>596.49274533797279</v>
      </c>
      <c r="AC25" s="3">
        <v>300</v>
      </c>
      <c r="AD25" s="3">
        <v>450</v>
      </c>
      <c r="AE25" s="3">
        <v>600</v>
      </c>
      <c r="AF25" s="3">
        <v>330</v>
      </c>
      <c r="AG25" s="2">
        <v>495</v>
      </c>
      <c r="AH25" s="3">
        <v>660</v>
      </c>
      <c r="AI25" s="2">
        <v>296.49274533797399</v>
      </c>
      <c r="AJ25" s="2">
        <v>146.49274533797399</v>
      </c>
      <c r="AK25" s="3">
        <v>-3.5072546620259502</v>
      </c>
      <c r="AL25" s="2">
        <v>266.49274533797399</v>
      </c>
      <c r="AM25" s="2">
        <v>101.49274533797301</v>
      </c>
      <c r="AN25" s="3">
        <v>-63.5072546620259</v>
      </c>
      <c r="AO25" s="3">
        <v>3.1117188569991299E-3</v>
      </c>
      <c r="AP25" s="3">
        <v>5.1073957131430201E-3</v>
      </c>
      <c r="AQ25" s="3">
        <v>2.53868263839347E-3</v>
      </c>
      <c r="AR25" s="3">
        <v>1.2543261010187E-3</v>
      </c>
      <c r="AS25" s="3">
        <v>-3.0030436356074601E-5</v>
      </c>
      <c r="AT25" s="3">
        <v>2.2818113309185199E-3</v>
      </c>
      <c r="AU25" s="3">
        <v>8.69019139806267E-4</v>
      </c>
      <c r="AV25" s="3">
        <v>-5.4377305130598398E-4</v>
      </c>
    </row>
    <row r="26" spans="1:48" x14ac:dyDescent="0.2">
      <c r="A26" t="s">
        <v>47</v>
      </c>
      <c r="B26">
        <v>2022</v>
      </c>
      <c r="C26">
        <v>50</v>
      </c>
      <c r="D26" t="s">
        <v>51</v>
      </c>
      <c r="E26" s="3">
        <v>1231275</v>
      </c>
      <c r="F26" s="3">
        <v>2788</v>
      </c>
      <c r="G26" s="3">
        <v>1138.5</v>
      </c>
      <c r="H26" s="3">
        <v>199</v>
      </c>
      <c r="I26" s="3">
        <v>123029</v>
      </c>
      <c r="J26" s="4">
        <v>1.6998888888888799</v>
      </c>
      <c r="K26" s="2">
        <v>2.18194444444444</v>
      </c>
      <c r="L26" s="2">
        <v>1640.1071965487899</v>
      </c>
      <c r="M26" s="2">
        <v>91.203055378739606</v>
      </c>
      <c r="N26" s="3">
        <v>7.2019254500000005E-2</v>
      </c>
      <c r="O26" s="3">
        <v>81.993921248250004</v>
      </c>
      <c r="P26" s="2">
        <v>2201.78276727925</v>
      </c>
      <c r="Q26" s="3">
        <v>0.1105</v>
      </c>
      <c r="R26" s="3">
        <v>0.1341</v>
      </c>
      <c r="S26" s="3">
        <v>9.7900000000000001E-2</v>
      </c>
      <c r="T26" s="3">
        <v>2.6289087000000002</v>
      </c>
      <c r="U26" s="2">
        <v>181.23184521864101</v>
      </c>
      <c r="V26" s="2">
        <v>12.2303297262889</v>
      </c>
      <c r="W26" s="2">
        <v>215.554532916639</v>
      </c>
      <c r="X26" s="2">
        <v>409.01670786157001</v>
      </c>
      <c r="Y26" s="2">
        <v>0.61430074908703702</v>
      </c>
      <c r="Z26" s="2"/>
      <c r="AA26" s="2">
        <f>Table1[[#This Row],[direct_tax]]*Table1[[#This Row],[kappa]]</f>
        <v>251.25927002847624</v>
      </c>
      <c r="AB26" s="2">
        <f>Table1[[#This Row],[direct_tax]]+Table1[[#This Row],[indirect_cost]]</f>
        <v>660.27597789004631</v>
      </c>
      <c r="AC26" s="3">
        <v>373</v>
      </c>
      <c r="AD26" s="3">
        <v>559</v>
      </c>
      <c r="AE26" s="3">
        <v>745</v>
      </c>
      <c r="AF26" s="3">
        <v>410.3</v>
      </c>
      <c r="AG26" s="2">
        <v>614.9</v>
      </c>
      <c r="AH26" s="2">
        <v>819.5</v>
      </c>
      <c r="AI26" s="2">
        <v>287.27597789004602</v>
      </c>
      <c r="AJ26" s="2">
        <v>101.27597789004599</v>
      </c>
      <c r="AK26" s="3">
        <v>-84.724022109953395</v>
      </c>
      <c r="AL26" s="2">
        <v>249.97597789004601</v>
      </c>
      <c r="AM26" s="2">
        <v>45.3759778900464</v>
      </c>
      <c r="AN26" s="3">
        <v>-159.22402210995301</v>
      </c>
      <c r="AO26" s="3">
        <v>3.3245552500757499E-3</v>
      </c>
      <c r="AP26" s="3">
        <v>5.3668320305785304E-3</v>
      </c>
      <c r="AQ26" s="3">
        <v>2.3350265213083598E-3</v>
      </c>
      <c r="AR26" s="3">
        <v>8.2318784912538097E-4</v>
      </c>
      <c r="AS26" s="3">
        <v>-6.8865082305760001E-4</v>
      </c>
      <c r="AT26" s="3">
        <v>2.03184597038134E-3</v>
      </c>
      <c r="AU26" s="3">
        <v>3.6882343098006501E-4</v>
      </c>
      <c r="AV26" s="3">
        <v>-1.2941991084212099E-3</v>
      </c>
    </row>
    <row r="27" spans="1:48" x14ac:dyDescent="0.2">
      <c r="A27" t="s">
        <v>47</v>
      </c>
      <c r="B27">
        <v>2023</v>
      </c>
      <c r="C27">
        <v>65</v>
      </c>
      <c r="D27" t="s">
        <v>51</v>
      </c>
      <c r="E27" s="3">
        <v>1253681</v>
      </c>
      <c r="F27" s="3">
        <v>2599</v>
      </c>
      <c r="G27" s="3">
        <v>1260</v>
      </c>
      <c r="H27" s="3">
        <v>221</v>
      </c>
      <c r="I27" s="3">
        <v>129268</v>
      </c>
      <c r="J27" s="4">
        <v>1.55883333333333</v>
      </c>
      <c r="K27" s="2">
        <v>1.9092499999999999</v>
      </c>
      <c r="L27" s="2">
        <v>1667.2725328771501</v>
      </c>
      <c r="M27" s="2">
        <v>115.752258740343</v>
      </c>
      <c r="N27" s="3">
        <v>7.2019254500000005E-2</v>
      </c>
      <c r="O27" s="3">
        <v>90.744260670000003</v>
      </c>
      <c r="P27" s="2">
        <v>2436.7556317715098</v>
      </c>
      <c r="Q27" s="3">
        <v>0.1431</v>
      </c>
      <c r="R27" s="3">
        <v>0.17380000000000001</v>
      </c>
      <c r="S27" s="3">
        <v>0.1239</v>
      </c>
      <c r="T27" s="3">
        <v>3.3270867000000002</v>
      </c>
      <c r="U27" s="2">
        <v>238.58669945471999</v>
      </c>
      <c r="V27" s="2">
        <v>20.117742569071599</v>
      </c>
      <c r="W27" s="2">
        <v>301.91402277649001</v>
      </c>
      <c r="X27" s="2">
        <v>560.61846480028203</v>
      </c>
      <c r="Y27" s="2">
        <v>0.57373845769374399</v>
      </c>
      <c r="Z27" s="2"/>
      <c r="AA27" s="2">
        <f>Table1[[#This Row],[direct_tax]]*Table1[[#This Row],[kappa]]</f>
        <v>321.6483733491483</v>
      </c>
      <c r="AB27" s="2">
        <f>Table1[[#This Row],[direct_tax]]+Table1[[#This Row],[indirect_cost]]</f>
        <v>882.26683814943033</v>
      </c>
      <c r="AC27" s="3">
        <v>488</v>
      </c>
      <c r="AD27" s="3">
        <v>732</v>
      </c>
      <c r="AE27" s="3">
        <v>976</v>
      </c>
      <c r="AF27" s="2">
        <v>536.79999999999995</v>
      </c>
      <c r="AG27" s="3">
        <v>805.2</v>
      </c>
      <c r="AH27" s="2">
        <v>1073.5999999999999</v>
      </c>
      <c r="AI27" s="2">
        <v>394.26683814943101</v>
      </c>
      <c r="AJ27" s="2">
        <v>150.26683814943101</v>
      </c>
      <c r="AK27" s="3">
        <v>-93.733161850568806</v>
      </c>
      <c r="AL27" s="2">
        <v>345.466838149431</v>
      </c>
      <c r="AM27" s="2">
        <v>77.066838149431007</v>
      </c>
      <c r="AN27" s="3">
        <v>-191.33316185056901</v>
      </c>
      <c r="AO27" s="3">
        <v>4.3368696413674003E-3</v>
      </c>
      <c r="AP27" s="3">
        <v>6.8250985406243699E-3</v>
      </c>
      <c r="AQ27" s="3">
        <v>3.0499956535989599E-3</v>
      </c>
      <c r="AR27" s="3">
        <v>1.1624442100862599E-3</v>
      </c>
      <c r="AS27" s="3">
        <v>-7.2510723342643802E-4</v>
      </c>
      <c r="AT27" s="3">
        <v>2.67248536489642E-3</v>
      </c>
      <c r="AU27" s="3">
        <v>5.96178777032452E-4</v>
      </c>
      <c r="AV27" s="3">
        <v>-1.4801278108315199E-3</v>
      </c>
    </row>
    <row r="28" spans="1:48" x14ac:dyDescent="0.2">
      <c r="A28" t="s">
        <v>47</v>
      </c>
      <c r="B28">
        <v>2024</v>
      </c>
      <c r="C28">
        <v>80</v>
      </c>
      <c r="D28" t="s">
        <v>51</v>
      </c>
      <c r="E28" s="3">
        <v>1294338</v>
      </c>
      <c r="F28" s="3">
        <v>2599</v>
      </c>
      <c r="G28" s="3">
        <v>1260</v>
      </c>
      <c r="H28" s="3">
        <v>221</v>
      </c>
      <c r="I28" s="3">
        <v>129268</v>
      </c>
      <c r="J28" s="4">
        <v>1.56883333333333</v>
      </c>
      <c r="K28" s="2">
        <v>1.6484722222222199</v>
      </c>
      <c r="L28" s="2">
        <v>1656.6450653351701</v>
      </c>
      <c r="M28" s="2">
        <v>134.063526834611</v>
      </c>
      <c r="N28" s="3">
        <v>7.2019254500000005E-2</v>
      </c>
      <c r="O28" s="3">
        <v>90.744260670000003</v>
      </c>
      <c r="P28" s="2">
        <v>2436.7556317715098</v>
      </c>
      <c r="Q28" s="3">
        <v>0.17610000000000001</v>
      </c>
      <c r="R28" s="3">
        <v>0.21390000000000001</v>
      </c>
      <c r="S28" s="3">
        <v>0.1525</v>
      </c>
      <c r="T28" s="3">
        <v>4.0950825000000002</v>
      </c>
      <c r="U28" s="2">
        <v>291.73519600552402</v>
      </c>
      <c r="V28" s="2">
        <v>28.676188389923301</v>
      </c>
      <c r="W28" s="2">
        <v>371.605233845155</v>
      </c>
      <c r="X28" s="2">
        <v>692.01661824060204</v>
      </c>
      <c r="Y28" s="2">
        <v>0.53317616630045195</v>
      </c>
      <c r="Z28" s="2"/>
      <c r="AA28" s="2">
        <f>Table1[[#This Row],[direct_tax]]*Table1[[#This Row],[kappa]]</f>
        <v>368.96676752972758</v>
      </c>
      <c r="AB28" s="2">
        <f>Table1[[#This Row],[direct_tax]]+Table1[[#This Row],[indirect_cost]]</f>
        <v>1060.9833857703297</v>
      </c>
      <c r="AC28" s="3">
        <v>560</v>
      </c>
      <c r="AD28" s="3">
        <v>840</v>
      </c>
      <c r="AE28" s="3">
        <v>1120</v>
      </c>
      <c r="AF28" s="3">
        <v>672</v>
      </c>
      <c r="AG28" s="3">
        <v>1008</v>
      </c>
      <c r="AH28" s="3">
        <v>1344</v>
      </c>
      <c r="AI28" s="2">
        <v>500.98338577033098</v>
      </c>
      <c r="AJ28" s="2">
        <v>220.98338577033101</v>
      </c>
      <c r="AK28" s="3">
        <v>-59.016614229668903</v>
      </c>
      <c r="AL28" s="2">
        <v>388.98338577033098</v>
      </c>
      <c r="AM28" s="3">
        <v>52.983385770331097</v>
      </c>
      <c r="AN28" s="3">
        <v>-283.01661422966799</v>
      </c>
      <c r="AO28" s="3">
        <v>5.3533482241591296E-3</v>
      </c>
      <c r="AP28" s="3">
        <v>8.2076259071876302E-3</v>
      </c>
      <c r="AQ28" s="3">
        <v>3.8755406269945399E-3</v>
      </c>
      <c r="AR28" s="3">
        <v>1.7094979868980001E-3</v>
      </c>
      <c r="AS28" s="3">
        <v>-4.5654465319853999E-4</v>
      </c>
      <c r="AT28" s="3">
        <v>3.00912357095592E-3</v>
      </c>
      <c r="AU28" s="3">
        <v>4.0987240284007698E-4</v>
      </c>
      <c r="AV28" s="3">
        <v>-2.1893787652757699E-3</v>
      </c>
    </row>
    <row r="29" spans="1:48" x14ac:dyDescent="0.2">
      <c r="A29" t="s">
        <v>47</v>
      </c>
      <c r="B29">
        <v>2025</v>
      </c>
      <c r="C29">
        <v>0</v>
      </c>
      <c r="D29" t="s">
        <v>51</v>
      </c>
      <c r="E29" s="3">
        <v>1294338</v>
      </c>
      <c r="F29" s="3">
        <v>2599</v>
      </c>
      <c r="G29" s="3">
        <v>1260</v>
      </c>
      <c r="H29" s="3">
        <v>221</v>
      </c>
      <c r="I29" s="3">
        <v>129268</v>
      </c>
      <c r="J29" s="4">
        <v>1.39052777777777</v>
      </c>
      <c r="K29" s="2">
        <v>1.57161111111111</v>
      </c>
      <c r="L29" s="2">
        <v>1869.07449209932</v>
      </c>
      <c r="M29" s="2">
        <v>140.620028986531</v>
      </c>
      <c r="N29" s="3">
        <v>7.2019254500000005E-2</v>
      </c>
      <c r="O29" s="3">
        <v>90.744260670000003</v>
      </c>
      <c r="P29" s="2">
        <v>2436.7556317715098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/>
      <c r="AA29" s="3">
        <f>Table1[[#This Row],[direct_tax]]*Table1[[#This Row],[kappa]]</f>
        <v>0</v>
      </c>
      <c r="AB29" s="3">
        <f>Table1[[#This Row],[direct_tax]]+Table1[[#This Row],[indirect_cost]]</f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</row>
    <row r="30" spans="1:48" x14ac:dyDescent="0.2">
      <c r="A30" t="s">
        <v>47</v>
      </c>
      <c r="B30">
        <v>2019</v>
      </c>
      <c r="C30">
        <v>20</v>
      </c>
      <c r="D30" t="s">
        <v>52</v>
      </c>
      <c r="E30" s="3">
        <v>1241804</v>
      </c>
      <c r="F30" s="3">
        <v>3609</v>
      </c>
      <c r="G30" s="3">
        <v>1151</v>
      </c>
      <c r="H30" s="3">
        <v>228</v>
      </c>
      <c r="I30" s="3">
        <v>189998</v>
      </c>
      <c r="J30" s="4">
        <v>1.2092499999999999</v>
      </c>
      <c r="K30" s="2">
        <v>1.3276666666666599</v>
      </c>
      <c r="L30" s="3">
        <v>2984.4945213975602</v>
      </c>
      <c r="M30" s="2">
        <v>171.72985187044901</v>
      </c>
      <c r="N30" s="3">
        <v>7.2019254500000005E-2</v>
      </c>
      <c r="O30" s="3">
        <v>82.894161929500001</v>
      </c>
      <c r="P30" s="2">
        <v>2225.9569302928599</v>
      </c>
      <c r="Q30" s="3">
        <v>4.4200000000000003E-2</v>
      </c>
      <c r="R30" s="3">
        <v>5.3699999999999998E-2</v>
      </c>
      <c r="S30" s="3">
        <v>3.9100000000000003E-2</v>
      </c>
      <c r="T30" s="2">
        <v>1.0499522999999999</v>
      </c>
      <c r="U30" s="2">
        <v>131.91465784577201</v>
      </c>
      <c r="V30" s="2">
        <v>9.2218930454431298</v>
      </c>
      <c r="W30" s="2">
        <v>87.034915974450897</v>
      </c>
      <c r="X30" s="2">
        <v>228.17146686566599</v>
      </c>
      <c r="Y30" s="2">
        <v>0.69542533187362199</v>
      </c>
      <c r="Z30" s="2"/>
      <c r="AA30" s="2">
        <f>Table1[[#This Row],[direct_tax]]*Table1[[#This Row],[kappa]]</f>
        <v>158.67621806914693</v>
      </c>
      <c r="AB30" s="2">
        <f>Table1[[#This Row],[direct_tax]]+Table1[[#This Row],[indirect_cost]]</f>
        <v>386.84768493481295</v>
      </c>
      <c r="AC30" s="3">
        <v>154</v>
      </c>
      <c r="AD30" s="3">
        <v>231</v>
      </c>
      <c r="AE30" s="3">
        <v>307</v>
      </c>
      <c r="AF30" s="3">
        <v>169.4</v>
      </c>
      <c r="AG30" s="2">
        <v>254.1</v>
      </c>
      <c r="AH30" s="2">
        <v>337.7</v>
      </c>
      <c r="AI30" s="2">
        <v>232.847684934813</v>
      </c>
      <c r="AJ30" s="2">
        <v>155.847684934813</v>
      </c>
      <c r="AK30" s="2">
        <v>79.8476849348135</v>
      </c>
      <c r="AL30" s="2">
        <v>217.447684934813</v>
      </c>
      <c r="AM30" s="2">
        <v>132.74768493481301</v>
      </c>
      <c r="AN30" s="2">
        <v>49.147684934813398</v>
      </c>
      <c r="AO30" s="3">
        <v>1.20091509839927E-3</v>
      </c>
      <c r="AP30" s="3">
        <v>2.0360618792556401E-3</v>
      </c>
      <c r="AQ30" s="3">
        <v>1.2255270315203999E-3</v>
      </c>
      <c r="AR30" s="3">
        <v>8.2025960765278296E-4</v>
      </c>
      <c r="AS30" s="3">
        <v>4.2025539708214502E-4</v>
      </c>
      <c r="AT30" s="3">
        <v>1.14447354674687E-3</v>
      </c>
      <c r="AU30" s="3">
        <v>6.98679380492497E-4</v>
      </c>
      <c r="AV30" s="3">
        <v>2.5867474886479501E-4</v>
      </c>
    </row>
    <row r="31" spans="1:48" x14ac:dyDescent="0.2">
      <c r="A31" t="s">
        <v>47</v>
      </c>
      <c r="B31">
        <v>2020</v>
      </c>
      <c r="C31">
        <v>30</v>
      </c>
      <c r="D31" t="s">
        <v>52</v>
      </c>
      <c r="E31" s="3">
        <v>1240126</v>
      </c>
      <c r="F31" s="3">
        <v>3206.5</v>
      </c>
      <c r="G31" s="3">
        <v>1208</v>
      </c>
      <c r="H31" s="3">
        <v>231</v>
      </c>
      <c r="I31" s="3">
        <v>191006</v>
      </c>
      <c r="J31" s="4">
        <v>1.0371666666666599</v>
      </c>
      <c r="K31" s="2">
        <v>1.17475</v>
      </c>
      <c r="L31" s="2">
        <v>3091.5956933954599</v>
      </c>
      <c r="M31" s="2">
        <v>196.63758246435401</v>
      </c>
      <c r="N31" s="3">
        <v>7.2019254500000005E-2</v>
      </c>
      <c r="O31" s="3">
        <v>86.999259436000003</v>
      </c>
      <c r="P31" s="2">
        <v>2336.1911136348999</v>
      </c>
      <c r="Q31" s="3">
        <v>6.6299999999999998E-2</v>
      </c>
      <c r="R31" s="3">
        <v>8.0500000000000002E-2</v>
      </c>
      <c r="S31" s="3">
        <v>5.8700000000000002E-2</v>
      </c>
      <c r="T31" s="2">
        <v>1.5762711</v>
      </c>
      <c r="U31" s="2">
        <v>204.97279447211901</v>
      </c>
      <c r="V31" s="2">
        <v>15.8293253883805</v>
      </c>
      <c r="W31" s="2">
        <v>137.13441837036899</v>
      </c>
      <c r="X31" s="2">
        <v>357.93653823086902</v>
      </c>
      <c r="Y31" s="2">
        <v>0.66838380427809396</v>
      </c>
      <c r="Z31" s="2"/>
      <c r="AA31" s="2">
        <f>Table1[[#This Row],[direct_tax]]*Table1[[#This Row],[kappa]]</f>
        <v>239.23898511287965</v>
      </c>
      <c r="AB31" s="3">
        <f>Table1[[#This Row],[direct_tax]]+Table1[[#This Row],[indirect_cost]]</f>
        <v>597.17552334374864</v>
      </c>
      <c r="AC31" s="3">
        <v>224</v>
      </c>
      <c r="AD31" s="3">
        <v>336</v>
      </c>
      <c r="AE31" s="3">
        <v>448</v>
      </c>
      <c r="AF31" s="2">
        <v>246.4</v>
      </c>
      <c r="AG31" s="3">
        <v>369.6</v>
      </c>
      <c r="AH31" s="2">
        <v>492.8</v>
      </c>
      <c r="AI31" s="3">
        <v>373.17552334374898</v>
      </c>
      <c r="AJ31" s="3">
        <v>261.17552334374898</v>
      </c>
      <c r="AK31" s="2">
        <v>149.17552334374801</v>
      </c>
      <c r="AL31" s="2">
        <v>350.77552334374798</v>
      </c>
      <c r="AM31" s="2">
        <v>227.57552334374799</v>
      </c>
      <c r="AN31" s="2">
        <v>104.375523343748</v>
      </c>
      <c r="AO31" s="3">
        <v>1.87395442148869E-3</v>
      </c>
      <c r="AP31" s="3">
        <v>3.1264752067670502E-3</v>
      </c>
      <c r="AQ31" s="3">
        <v>1.9537371775951999E-3</v>
      </c>
      <c r="AR31" s="3">
        <v>1.36736816300927E-3</v>
      </c>
      <c r="AS31" s="3">
        <v>7.8099914842334197E-4</v>
      </c>
      <c r="AT31" s="3">
        <v>1.83646337467801E-3</v>
      </c>
      <c r="AU31" s="3">
        <v>1.1914574586334901E-3</v>
      </c>
      <c r="AV31" s="3">
        <v>5.4645154258896995E-4</v>
      </c>
    </row>
    <row r="32" spans="1:48" x14ac:dyDescent="0.2">
      <c r="A32" t="s">
        <v>47</v>
      </c>
      <c r="B32">
        <v>2021</v>
      </c>
      <c r="C32">
        <v>40</v>
      </c>
      <c r="D32" t="s">
        <v>52</v>
      </c>
      <c r="E32" s="3">
        <v>1234204</v>
      </c>
      <c r="F32" s="3">
        <v>2804</v>
      </c>
      <c r="G32" s="3">
        <v>1265</v>
      </c>
      <c r="H32" s="3">
        <v>234</v>
      </c>
      <c r="I32" s="3">
        <v>192014</v>
      </c>
      <c r="J32" s="4">
        <v>1.3430555555555499</v>
      </c>
      <c r="K32" s="2">
        <v>1.40994444444444</v>
      </c>
      <c r="L32" s="2">
        <v>2087.7766287487002</v>
      </c>
      <c r="M32" s="2">
        <v>165.963985972654</v>
      </c>
      <c r="N32" s="3">
        <v>7.2019254500000005E-2</v>
      </c>
      <c r="O32" s="3">
        <v>91.104356942500004</v>
      </c>
      <c r="P32" s="2">
        <v>2446.42529697695</v>
      </c>
      <c r="Q32" s="3">
        <v>8.8400000000000006E-2</v>
      </c>
      <c r="R32" s="3">
        <v>0.10730000000000001</v>
      </c>
      <c r="S32" s="3">
        <v>7.8299999999999995E-2</v>
      </c>
      <c r="T32" s="3">
        <v>2.1025898999999999</v>
      </c>
      <c r="U32" s="2">
        <v>184.55945398138499</v>
      </c>
      <c r="V32" s="2">
        <v>17.807935694865801</v>
      </c>
      <c r="W32" s="2">
        <v>191.55510075329499</v>
      </c>
      <c r="X32" s="3">
        <v>393.922490429547</v>
      </c>
      <c r="Y32" s="2">
        <v>0.64134227668256505</v>
      </c>
      <c r="Z32" s="2"/>
      <c r="AA32" s="2">
        <f>Table1[[#This Row],[direct_tax]]*Table1[[#This Row],[kappa]]</f>
        <v>252.6391468485516</v>
      </c>
      <c r="AB32" s="2">
        <f>Table1[[#This Row],[direct_tax]]+Table1[[#This Row],[indirect_cost]]</f>
        <v>646.5616372780986</v>
      </c>
      <c r="AC32" s="3">
        <v>300</v>
      </c>
      <c r="AD32" s="3">
        <v>450</v>
      </c>
      <c r="AE32" s="3">
        <v>600</v>
      </c>
      <c r="AF32" s="3">
        <v>330</v>
      </c>
      <c r="AG32" s="2">
        <v>495</v>
      </c>
      <c r="AH32" s="3">
        <v>660</v>
      </c>
      <c r="AI32" s="2">
        <v>346.56163727809798</v>
      </c>
      <c r="AJ32" s="2">
        <v>196.561637278098</v>
      </c>
      <c r="AK32" s="2">
        <v>46.5616372780989</v>
      </c>
      <c r="AL32" s="2">
        <v>316.56163727809798</v>
      </c>
      <c r="AM32" s="2">
        <v>151.561637278098</v>
      </c>
      <c r="AN32" s="3">
        <v>-13.438362721900999</v>
      </c>
      <c r="AO32" s="3">
        <v>2.0515300469212999E-3</v>
      </c>
      <c r="AP32" s="3">
        <v>3.3672629978965E-3</v>
      </c>
      <c r="AQ32" s="3">
        <v>1.80487692188121E-3</v>
      </c>
      <c r="AR32" s="3">
        <v>1.0236838838735599E-3</v>
      </c>
      <c r="AS32" s="3">
        <v>2.4249084586592E-4</v>
      </c>
      <c r="AT32" s="3">
        <v>1.64863831427968E-3</v>
      </c>
      <c r="AU32" s="3">
        <v>7.8932597247127203E-4</v>
      </c>
      <c r="AV32" s="3">
        <v>-6.9986369337137104E-5</v>
      </c>
    </row>
    <row r="33" spans="1:48" x14ac:dyDescent="0.2">
      <c r="A33" t="s">
        <v>47</v>
      </c>
      <c r="B33">
        <v>2022</v>
      </c>
      <c r="C33">
        <v>50</v>
      </c>
      <c r="D33" t="s">
        <v>52</v>
      </c>
      <c r="E33" s="3">
        <v>1252949</v>
      </c>
      <c r="F33" s="3">
        <v>2906.5</v>
      </c>
      <c r="G33" s="3">
        <v>1416</v>
      </c>
      <c r="H33" s="3">
        <v>259.5</v>
      </c>
      <c r="I33" s="3">
        <v>218788</v>
      </c>
      <c r="J33" s="4">
        <v>1.6998888888888799</v>
      </c>
      <c r="K33" s="2">
        <v>2.18194444444444</v>
      </c>
      <c r="L33" s="2">
        <v>1709.81763513955</v>
      </c>
      <c r="M33" s="2">
        <v>118.93061744112001</v>
      </c>
      <c r="N33" s="3">
        <v>7.2019254500000005E-2</v>
      </c>
      <c r="O33" s="3">
        <v>101.979264372</v>
      </c>
      <c r="P33" s="2">
        <v>2738.4491861813099</v>
      </c>
      <c r="Q33" s="3">
        <v>0.1105</v>
      </c>
      <c r="R33" s="3">
        <v>0.1341</v>
      </c>
      <c r="S33" s="3">
        <v>9.7900000000000001E-2</v>
      </c>
      <c r="T33" s="3">
        <v>2.6289087000000002</v>
      </c>
      <c r="U33" s="2">
        <v>188.93484868292001</v>
      </c>
      <c r="V33" s="2">
        <v>15.9485957988542</v>
      </c>
      <c r="W33" s="2">
        <v>268.09417532715003</v>
      </c>
      <c r="X33" s="2">
        <v>472.977619808925</v>
      </c>
      <c r="Y33" s="2">
        <v>0.61430074908703702</v>
      </c>
      <c r="Z33" s="2"/>
      <c r="AA33" s="2">
        <f>Table1[[#This Row],[direct_tax]]*Table1[[#This Row],[kappa]]</f>
        <v>290.55050615002642</v>
      </c>
      <c r="AB33" s="2">
        <f>Table1[[#This Row],[direct_tax]]+Table1[[#This Row],[indirect_cost]]</f>
        <v>763.52812595895148</v>
      </c>
      <c r="AC33" s="3">
        <v>373</v>
      </c>
      <c r="AD33" s="3">
        <v>559</v>
      </c>
      <c r="AE33" s="3">
        <v>745</v>
      </c>
      <c r="AF33" s="3">
        <v>410.3</v>
      </c>
      <c r="AG33" s="2">
        <v>614.9</v>
      </c>
      <c r="AH33" s="2">
        <v>819.5</v>
      </c>
      <c r="AI33" s="2">
        <v>390.52812595895199</v>
      </c>
      <c r="AJ33" s="2">
        <v>204.52812595895199</v>
      </c>
      <c r="AK33" s="2">
        <v>18.528125958952302</v>
      </c>
      <c r="AL33" s="2">
        <v>353.22812595895198</v>
      </c>
      <c r="AM33" s="2">
        <v>148.62812595895201</v>
      </c>
      <c r="AN33" s="3">
        <v>-55.971874041047698</v>
      </c>
      <c r="AO33" s="3">
        <v>2.16180786793117E-3</v>
      </c>
      <c r="AP33" s="3">
        <v>3.48980806058354E-3</v>
      </c>
      <c r="AQ33" s="3">
        <v>1.7849613596675801E-3</v>
      </c>
      <c r="AR33" s="3">
        <v>9.3482332650306405E-4</v>
      </c>
      <c r="AS33" s="6">
        <v>8.46852933385395E-5</v>
      </c>
      <c r="AT33" s="3">
        <v>1.6144766895759899E-3</v>
      </c>
      <c r="AU33" s="3">
        <v>6.7932485309501502E-4</v>
      </c>
      <c r="AV33" s="3">
        <v>-2.55826983385961E-4</v>
      </c>
    </row>
    <row r="34" spans="1:48" x14ac:dyDescent="0.2">
      <c r="A34" t="s">
        <v>47</v>
      </c>
      <c r="B34">
        <v>2023</v>
      </c>
      <c r="C34">
        <v>65</v>
      </c>
      <c r="D34" t="s">
        <v>52</v>
      </c>
      <c r="E34" s="3">
        <v>1281498</v>
      </c>
      <c r="F34" s="3">
        <v>3009</v>
      </c>
      <c r="G34" s="3">
        <v>1567</v>
      </c>
      <c r="H34" s="3">
        <v>285</v>
      </c>
      <c r="I34" s="3">
        <v>245562</v>
      </c>
      <c r="J34" s="4">
        <v>1.55883333333333</v>
      </c>
      <c r="K34" s="2">
        <v>1.9092499999999999</v>
      </c>
      <c r="L34" s="2">
        <v>1930.2897466053601</v>
      </c>
      <c r="M34" s="2">
        <v>149.27327484614301</v>
      </c>
      <c r="N34" s="3">
        <v>7.2019254500000005E-2</v>
      </c>
      <c r="O34" s="3">
        <v>112.8541718015</v>
      </c>
      <c r="P34" s="2">
        <v>3030.4730753856702</v>
      </c>
      <c r="Q34" s="3">
        <v>0.1431</v>
      </c>
      <c r="R34" s="3">
        <v>0.17380000000000001</v>
      </c>
      <c r="S34" s="3">
        <v>0.1239</v>
      </c>
      <c r="T34" s="3">
        <v>3.3270867000000002</v>
      </c>
      <c r="U34" s="2">
        <v>276.22446273922799</v>
      </c>
      <c r="V34" s="2">
        <v>25.943695168259701</v>
      </c>
      <c r="W34" s="2">
        <v>375.475614040285</v>
      </c>
      <c r="X34" s="2">
        <v>677.64377194777296</v>
      </c>
      <c r="Y34" s="2">
        <v>0.57373845769374399</v>
      </c>
      <c r="Z34" s="2"/>
      <c r="AA34" s="2">
        <f>Table1[[#This Row],[direct_tax]]*Table1[[#This Row],[kappa]]</f>
        <v>388.79029258308645</v>
      </c>
      <c r="AB34" s="2">
        <f>Table1[[#This Row],[direct_tax]]+Table1[[#This Row],[indirect_cost]]</f>
        <v>1066.4340645308594</v>
      </c>
      <c r="AC34" s="3">
        <v>488</v>
      </c>
      <c r="AD34" s="3">
        <v>732</v>
      </c>
      <c r="AE34" s="3">
        <v>976</v>
      </c>
      <c r="AF34" s="2">
        <v>536.79999999999995</v>
      </c>
      <c r="AG34" s="3">
        <v>805.2</v>
      </c>
      <c r="AH34" s="2">
        <v>1073.5999999999999</v>
      </c>
      <c r="AI34" s="3">
        <v>578.43406453086095</v>
      </c>
      <c r="AJ34" s="2">
        <v>334.43406453085998</v>
      </c>
      <c r="AK34" s="2">
        <v>90.434064530860894</v>
      </c>
      <c r="AL34" s="2">
        <v>529.63406453085997</v>
      </c>
      <c r="AM34" s="2">
        <v>261.23406453086</v>
      </c>
      <c r="AN34" s="3">
        <v>-7.1659354691391801</v>
      </c>
      <c r="AO34" s="3">
        <v>2.7595628474591902E-3</v>
      </c>
      <c r="AP34" s="3">
        <v>4.3428301794693801E-3</v>
      </c>
      <c r="AQ34" s="3">
        <v>2.3555520175387902E-3</v>
      </c>
      <c r="AR34" s="3">
        <v>1.36191293657349E-3</v>
      </c>
      <c r="AS34" s="3">
        <v>3.6827385560819997E-4</v>
      </c>
      <c r="AT34" s="3">
        <v>2.1568242013457299E-3</v>
      </c>
      <c r="AU34" s="3">
        <v>1.0638212122839E-3</v>
      </c>
      <c r="AV34" s="3">
        <v>-2.9181776777918301E-5</v>
      </c>
    </row>
    <row r="35" spans="1:48" x14ac:dyDescent="0.2">
      <c r="A35" t="s">
        <v>47</v>
      </c>
      <c r="B35">
        <v>2024</v>
      </c>
      <c r="C35">
        <v>80</v>
      </c>
      <c r="D35" t="s">
        <v>52</v>
      </c>
      <c r="E35" s="3">
        <v>1323606</v>
      </c>
      <c r="F35" s="3">
        <v>3009</v>
      </c>
      <c r="G35" s="3">
        <v>1567</v>
      </c>
      <c r="H35" s="3">
        <v>285</v>
      </c>
      <c r="I35" s="3">
        <v>245562</v>
      </c>
      <c r="J35" s="4">
        <v>1.56883333333333</v>
      </c>
      <c r="K35" s="2">
        <v>1.6484722222222199</v>
      </c>
      <c r="L35" s="2">
        <v>1917.98576436842</v>
      </c>
      <c r="M35" s="2">
        <v>172.88735361024499</v>
      </c>
      <c r="N35" s="3">
        <v>7.2019254500000005E-2</v>
      </c>
      <c r="O35" s="3">
        <v>112.8541718015</v>
      </c>
      <c r="P35" s="2">
        <v>3030.4730753856702</v>
      </c>
      <c r="Q35" s="3">
        <v>0.17610000000000001</v>
      </c>
      <c r="R35" s="3">
        <v>0.21390000000000001</v>
      </c>
      <c r="S35" s="3">
        <v>0.1525</v>
      </c>
      <c r="T35" s="3">
        <v>4.0950825000000002</v>
      </c>
      <c r="U35" s="3">
        <v>337.75729310527998</v>
      </c>
      <c r="V35" s="2">
        <v>36.980604937231398</v>
      </c>
      <c r="W35" s="2">
        <v>462.147143996316</v>
      </c>
      <c r="X35" s="2">
        <v>836.88504203882701</v>
      </c>
      <c r="Y35" s="2">
        <v>0.53317616630045195</v>
      </c>
      <c r="Z35" s="2"/>
      <c r="AA35" s="2">
        <f>Table1[[#This Row],[direct_tax]]*Table1[[#This Row],[kappa]]</f>
        <v>446.20715834845436</v>
      </c>
      <c r="AB35" s="2">
        <f>Table1[[#This Row],[direct_tax]]+Table1[[#This Row],[indirect_cost]]</f>
        <v>1283.0922003872813</v>
      </c>
      <c r="AC35" s="3">
        <v>560</v>
      </c>
      <c r="AD35" s="3">
        <v>840</v>
      </c>
      <c r="AE35" s="3">
        <v>1120</v>
      </c>
      <c r="AF35" s="3">
        <v>672</v>
      </c>
      <c r="AG35" s="3">
        <v>1008</v>
      </c>
      <c r="AH35" s="3">
        <v>1344</v>
      </c>
      <c r="AI35" s="2">
        <v>723.09220038728199</v>
      </c>
      <c r="AJ35" s="2">
        <v>443.09220038728199</v>
      </c>
      <c r="AK35" s="2">
        <v>163.09220038728199</v>
      </c>
      <c r="AL35" s="2">
        <v>611.09220038728199</v>
      </c>
      <c r="AM35" s="2">
        <v>275.09220038728199</v>
      </c>
      <c r="AN35" s="3">
        <v>-60.907799612717497</v>
      </c>
      <c r="AO35" s="3">
        <v>3.40803968870927E-3</v>
      </c>
      <c r="AP35" s="3">
        <v>5.22512522453507E-3</v>
      </c>
      <c r="AQ35" s="3">
        <v>2.9446420878934099E-3</v>
      </c>
      <c r="AR35" s="3">
        <v>1.8044005195725799E-3</v>
      </c>
      <c r="AS35" s="3">
        <v>6.6415895125174998E-4</v>
      </c>
      <c r="AT35" s="3">
        <v>2.48854546056508E-3</v>
      </c>
      <c r="AU35" s="3">
        <v>1.12025557858008E-3</v>
      </c>
      <c r="AV35" s="3">
        <v>-2.4803430340491399E-4</v>
      </c>
    </row>
    <row r="36" spans="1:48" x14ac:dyDescent="0.2">
      <c r="A36" t="s">
        <v>47</v>
      </c>
      <c r="B36">
        <v>2025</v>
      </c>
      <c r="C36">
        <v>0</v>
      </c>
      <c r="D36" t="s">
        <v>52</v>
      </c>
      <c r="E36" s="3">
        <v>1323606</v>
      </c>
      <c r="F36" s="3">
        <v>3009</v>
      </c>
      <c r="G36" s="3">
        <v>1567</v>
      </c>
      <c r="H36" s="3">
        <v>285</v>
      </c>
      <c r="I36" s="3">
        <v>245562</v>
      </c>
      <c r="J36" s="4">
        <v>1.39052777777777</v>
      </c>
      <c r="K36" s="2">
        <v>1.57161111111111</v>
      </c>
      <c r="L36" s="2">
        <v>2163.9265666513502</v>
      </c>
      <c r="M36" s="2">
        <v>181.34257131747299</v>
      </c>
      <c r="N36" s="3">
        <v>7.2019254500000005E-2</v>
      </c>
      <c r="O36" s="3">
        <v>112.8541718015</v>
      </c>
      <c r="P36" s="2">
        <v>3030.4730753856702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/>
      <c r="AA36" s="3">
        <f>Table1[[#This Row],[direct_tax]]*Table1[[#This Row],[kappa]]</f>
        <v>0</v>
      </c>
      <c r="AB36" s="3">
        <f>Table1[[#This Row],[direct_tax]]+Table1[[#This Row],[indirect_cost]]</f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</row>
    <row r="37" spans="1:48" x14ac:dyDescent="0.2">
      <c r="A37" t="s">
        <v>53</v>
      </c>
      <c r="B37">
        <v>2019</v>
      </c>
      <c r="C37">
        <v>20</v>
      </c>
      <c r="D37" t="s">
        <v>48</v>
      </c>
      <c r="E37" s="3">
        <v>95302</v>
      </c>
      <c r="F37" s="3">
        <v>1067</v>
      </c>
      <c r="G37" s="3">
        <v>191</v>
      </c>
      <c r="H37" s="3"/>
      <c r="I37" s="3">
        <v>38514</v>
      </c>
      <c r="J37" s="4">
        <v>1.09033333333333</v>
      </c>
      <c r="K37" s="2">
        <v>1.1459999999999999</v>
      </c>
      <c r="L37" s="2">
        <v>978.59981656985599</v>
      </c>
      <c r="M37" s="3"/>
      <c r="N37" s="3">
        <v>0.13862989319999999</v>
      </c>
      <c r="O37" s="3">
        <v>26.478309601199999</v>
      </c>
      <c r="P37" s="2">
        <v>711.022047721023</v>
      </c>
      <c r="Q37" s="3">
        <v>4.4200000000000003E-2</v>
      </c>
      <c r="R37" s="3">
        <v>5.3699999999999998E-2</v>
      </c>
      <c r="S37" s="3">
        <v>3.9100000000000003E-2</v>
      </c>
      <c r="T37" s="2">
        <v>1.0499522999999999</v>
      </c>
      <c r="U37" s="2">
        <v>43.254111892387598</v>
      </c>
      <c r="V37" s="3"/>
      <c r="W37" s="2">
        <v>27.800962065892001</v>
      </c>
      <c r="X37" s="2">
        <v>71.055073958279607</v>
      </c>
      <c r="Y37" s="2">
        <v>0.71290803929757196</v>
      </c>
      <c r="Z37" s="2"/>
      <c r="AA37" s="2">
        <f>Table1[[#This Row],[direct_tax]]*Table1[[#This Row],[kappa]]</f>
        <v>50.655733457741078</v>
      </c>
      <c r="AB37" s="2">
        <f>Table1[[#This Row],[direct_tax]]+Table1[[#This Row],[indirect_cost]]</f>
        <v>121.71080741602069</v>
      </c>
      <c r="AC37" s="3">
        <v>170</v>
      </c>
      <c r="AD37" s="3">
        <v>255</v>
      </c>
      <c r="AE37" s="3">
        <v>339</v>
      </c>
      <c r="AF37" s="2">
        <v>187</v>
      </c>
      <c r="AG37" s="3">
        <v>280.5</v>
      </c>
      <c r="AH37" s="2">
        <v>372.9</v>
      </c>
      <c r="AI37" s="3">
        <v>-48.289192583979101</v>
      </c>
      <c r="AJ37" s="3">
        <v>-133.289192583979</v>
      </c>
      <c r="AK37" s="3">
        <v>-217.289192583979</v>
      </c>
      <c r="AL37" s="3">
        <v>-65.289192583979101</v>
      </c>
      <c r="AM37" s="3">
        <v>-158.789192583979</v>
      </c>
      <c r="AN37" s="3">
        <v>-251.18919258397901</v>
      </c>
      <c r="AO37" s="3">
        <v>1.8449154582302399E-3</v>
      </c>
      <c r="AP37" s="3">
        <v>3.16017052022695E-3</v>
      </c>
      <c r="AQ37" s="3">
        <v>-1.25380881196393E-3</v>
      </c>
      <c r="AR37" s="3">
        <v>-3.46079847805938E-3</v>
      </c>
      <c r="AS37" s="3">
        <v>-5.6418235598478198E-3</v>
      </c>
      <c r="AT37" s="3">
        <v>-1.69520674518302E-3</v>
      </c>
      <c r="AU37" s="3">
        <v>-4.1228953778880096E-3</v>
      </c>
      <c r="AV37" s="3">
        <v>-6.5220229678553E-3</v>
      </c>
    </row>
    <row r="38" spans="1:48" x14ac:dyDescent="0.2">
      <c r="A38" t="s">
        <v>53</v>
      </c>
      <c r="B38">
        <v>2020</v>
      </c>
      <c r="C38">
        <v>30</v>
      </c>
      <c r="D38" t="s">
        <v>48</v>
      </c>
      <c r="E38" s="3">
        <v>103788</v>
      </c>
      <c r="F38" s="3">
        <v>1110</v>
      </c>
      <c r="G38" s="3">
        <v>197</v>
      </c>
      <c r="H38" s="3"/>
      <c r="I38" s="3">
        <v>38633</v>
      </c>
      <c r="J38" s="3">
        <v>0.93674999999999997</v>
      </c>
      <c r="K38" s="2">
        <v>0.95808333333333295</v>
      </c>
      <c r="L38" s="2">
        <v>1184.94795836669</v>
      </c>
      <c r="M38" s="3"/>
      <c r="N38" s="3">
        <v>0.13862989319999999</v>
      </c>
      <c r="O38" s="2">
        <v>27.310088960399899</v>
      </c>
      <c r="P38" s="2">
        <v>733.35781885362098</v>
      </c>
      <c r="Q38" s="3">
        <v>6.6299999999999998E-2</v>
      </c>
      <c r="R38" s="3">
        <v>8.0500000000000002E-2</v>
      </c>
      <c r="S38" s="3">
        <v>5.8700000000000002E-2</v>
      </c>
      <c r="T38" s="2">
        <v>1.5762711</v>
      </c>
      <c r="U38" s="2">
        <v>78.562049639711702</v>
      </c>
      <c r="V38" s="3"/>
      <c r="W38" s="2">
        <v>43.048103966707501</v>
      </c>
      <c r="X38" s="2">
        <v>121.610153606419</v>
      </c>
      <c r="Y38" s="2">
        <v>0.64182879234805901</v>
      </c>
      <c r="Z38" s="2"/>
      <c r="AA38" s="3">
        <f>Table1[[#This Row],[direct_tax]]*Table1[[#This Row],[kappa]]</f>
        <v>78.052898026469862</v>
      </c>
      <c r="AB38" s="2">
        <f>Table1[[#This Row],[direct_tax]]+Table1[[#This Row],[indirect_cost]]</f>
        <v>199.66305163288888</v>
      </c>
      <c r="AC38" s="3">
        <v>243</v>
      </c>
      <c r="AD38" s="3">
        <v>364</v>
      </c>
      <c r="AE38" s="3">
        <v>486</v>
      </c>
      <c r="AF38" s="3">
        <v>267.3</v>
      </c>
      <c r="AG38" s="2">
        <v>400.4</v>
      </c>
      <c r="AH38" s="3">
        <v>534.6</v>
      </c>
      <c r="AI38" s="3">
        <v>-43.336948367110502</v>
      </c>
      <c r="AJ38" s="3">
        <v>-164.33694836711001</v>
      </c>
      <c r="AK38" s="3">
        <v>-286.33694836710998</v>
      </c>
      <c r="AL38" s="3">
        <v>-67.636948367110506</v>
      </c>
      <c r="AM38" s="3">
        <v>-200.73694836710999</v>
      </c>
      <c r="AN38" s="3">
        <v>-334.93694836711001</v>
      </c>
      <c r="AO38" s="3">
        <v>3.14783096333236E-3</v>
      </c>
      <c r="AP38" s="3">
        <v>5.1681995090438002E-3</v>
      </c>
      <c r="AQ38" s="3">
        <v>-1.1217598521241E-3</v>
      </c>
      <c r="AR38" s="3">
        <v>-4.2537972294957802E-3</v>
      </c>
      <c r="AS38" s="3">
        <v>-7.4117192132920097E-3</v>
      </c>
      <c r="AT38" s="3">
        <v>-1.75075578824089E-3</v>
      </c>
      <c r="AU38" s="3">
        <v>-5.1959969033497401E-3</v>
      </c>
      <c r="AV38" s="3">
        <v>-8.6697110855256006E-3</v>
      </c>
    </row>
    <row r="39" spans="1:48" x14ac:dyDescent="0.2">
      <c r="A39" t="s">
        <v>53</v>
      </c>
      <c r="B39">
        <v>2021</v>
      </c>
      <c r="C39">
        <v>40</v>
      </c>
      <c r="D39" t="s">
        <v>48</v>
      </c>
      <c r="E39" s="3">
        <v>102295</v>
      </c>
      <c r="F39" s="3">
        <v>1153</v>
      </c>
      <c r="G39" s="3">
        <v>203</v>
      </c>
      <c r="H39" s="3"/>
      <c r="I39" s="3">
        <v>38752</v>
      </c>
      <c r="J39" s="4">
        <v>1.25941666666666</v>
      </c>
      <c r="K39" s="2">
        <v>1.1819166666666601</v>
      </c>
      <c r="L39" s="2">
        <v>915.50320915767804</v>
      </c>
      <c r="M39" s="3"/>
      <c r="N39" s="3">
        <v>0.13862989319999999</v>
      </c>
      <c r="O39" s="2">
        <v>28.141868319599901</v>
      </c>
      <c r="P39" s="2">
        <v>755.69358998621794</v>
      </c>
      <c r="Q39" s="3">
        <v>8.8400000000000006E-2</v>
      </c>
      <c r="R39" s="3">
        <v>0.10730000000000001</v>
      </c>
      <c r="S39" s="3">
        <v>7.8299999999999995E-2</v>
      </c>
      <c r="T39" s="3">
        <v>2.1025898999999999</v>
      </c>
      <c r="U39" s="2">
        <v>80.930483689538804</v>
      </c>
      <c r="V39" s="3"/>
      <c r="W39" s="2">
        <v>59.170808095920897</v>
      </c>
      <c r="X39" s="2">
        <v>140.10129178545901</v>
      </c>
      <c r="Y39" s="2">
        <v>0.57074954539854506</v>
      </c>
      <c r="Z39" s="2"/>
      <c r="AA39" s="2">
        <f>Table1[[#This Row],[direct_tax]]*Table1[[#This Row],[kappa]]</f>
        <v>79.962748596299647</v>
      </c>
      <c r="AB39" s="2">
        <f>Table1[[#This Row],[direct_tax]]+Table1[[#This Row],[indirect_cost]]</f>
        <v>220.06404038175867</v>
      </c>
      <c r="AC39" s="3">
        <v>360</v>
      </c>
      <c r="AD39" s="3">
        <v>540</v>
      </c>
      <c r="AE39" s="3">
        <v>720</v>
      </c>
      <c r="AF39" s="2">
        <v>396</v>
      </c>
      <c r="AG39" s="3">
        <v>594</v>
      </c>
      <c r="AH39" s="2">
        <v>792</v>
      </c>
      <c r="AI39" s="3">
        <v>-139.93595961823999</v>
      </c>
      <c r="AJ39" s="3">
        <v>-319.93595961824002</v>
      </c>
      <c r="AK39" s="3">
        <v>-499.93595961824002</v>
      </c>
      <c r="AL39" s="3">
        <v>-175.93595961823999</v>
      </c>
      <c r="AM39" s="3">
        <v>-373.93595961824002</v>
      </c>
      <c r="AN39" s="3">
        <v>-571.93595961823996</v>
      </c>
      <c r="AO39" s="3">
        <v>3.6153306096578098E-3</v>
      </c>
      <c r="AP39" s="3">
        <v>5.6787789115854597E-3</v>
      </c>
      <c r="AQ39" s="3">
        <v>-3.6110641932865402E-3</v>
      </c>
      <c r="AR39" s="3">
        <v>-8.2559857457225397E-3</v>
      </c>
      <c r="AS39" s="3">
        <v>-1.2900907298158499E-2</v>
      </c>
      <c r="AT39" s="3">
        <v>-4.5400485037737403E-3</v>
      </c>
      <c r="AU39" s="3">
        <v>-9.6494622114533402E-3</v>
      </c>
      <c r="AV39" s="3">
        <v>-1.4758875919132899E-2</v>
      </c>
    </row>
    <row r="40" spans="1:48" x14ac:dyDescent="0.2">
      <c r="A40" t="s">
        <v>53</v>
      </c>
      <c r="B40">
        <v>2022</v>
      </c>
      <c r="C40">
        <v>50</v>
      </c>
      <c r="D40" t="s">
        <v>48</v>
      </c>
      <c r="E40" s="3">
        <v>103495</v>
      </c>
      <c r="F40" s="3">
        <v>1153</v>
      </c>
      <c r="G40" s="3">
        <v>213</v>
      </c>
      <c r="H40" s="3"/>
      <c r="I40" s="3">
        <v>38416.5</v>
      </c>
      <c r="J40" s="4">
        <v>1.70891666666666</v>
      </c>
      <c r="K40" s="2">
        <v>1.7853333333333301</v>
      </c>
      <c r="L40" s="2">
        <v>674.69644511630099</v>
      </c>
      <c r="M40" s="3"/>
      <c r="N40" s="3">
        <v>0.13862989319999999</v>
      </c>
      <c r="O40" s="3">
        <v>29.528167251599999</v>
      </c>
      <c r="P40" s="2">
        <v>792.91987520721398</v>
      </c>
      <c r="Q40" s="3">
        <v>0.1105</v>
      </c>
      <c r="R40" s="3">
        <v>0.1341</v>
      </c>
      <c r="S40" s="3">
        <v>9.7900000000000001E-2</v>
      </c>
      <c r="T40" s="3">
        <v>2.6289087000000002</v>
      </c>
      <c r="U40" s="2">
        <v>74.553957185351294</v>
      </c>
      <c r="V40" s="3"/>
      <c r="W40" s="2">
        <v>77.626855782786294</v>
      </c>
      <c r="X40" s="2">
        <v>152.18081296813699</v>
      </c>
      <c r="Y40" s="2">
        <v>0.49967029844903199</v>
      </c>
      <c r="Z40" s="2"/>
      <c r="AA40" s="2">
        <f>Table1[[#This Row],[direct_tax]]*Table1[[#This Row],[kappa]]</f>
        <v>76.04023223400533</v>
      </c>
      <c r="AB40" s="2">
        <f>Table1[[#This Row],[direct_tax]]+Table1[[#This Row],[indirect_cost]]</f>
        <v>228.22104520214231</v>
      </c>
      <c r="AC40" s="3">
        <v>416</v>
      </c>
      <c r="AD40" s="3">
        <v>624</v>
      </c>
      <c r="AE40" s="3">
        <v>832</v>
      </c>
      <c r="AF40" s="3">
        <v>457.6</v>
      </c>
      <c r="AG40" s="2">
        <v>686.4</v>
      </c>
      <c r="AH40" s="3">
        <v>915.2</v>
      </c>
      <c r="AI40" s="3">
        <v>-187.77895479785599</v>
      </c>
      <c r="AJ40" s="3">
        <v>-395.77895479785599</v>
      </c>
      <c r="AK40" s="3">
        <v>-603.77895479785604</v>
      </c>
      <c r="AL40" s="3">
        <v>-229.37895479785601</v>
      </c>
      <c r="AM40" s="3">
        <v>-458.17895479785602</v>
      </c>
      <c r="AN40" s="3">
        <v>-686.97895479785598</v>
      </c>
      <c r="AO40" s="3">
        <v>3.96133986615484E-3</v>
      </c>
      <c r="AP40" s="3">
        <v>5.9407037393344802E-3</v>
      </c>
      <c r="AQ40" s="3">
        <v>-4.8879766453960296E-3</v>
      </c>
      <c r="AR40" s="3">
        <v>-1.03023168377612E-2</v>
      </c>
      <c r="AS40" s="3">
        <v>-1.57166570301265E-2</v>
      </c>
      <c r="AT40" s="3">
        <v>-5.9708446838690797E-3</v>
      </c>
      <c r="AU40" s="3">
        <v>-1.19266188954708E-2</v>
      </c>
      <c r="AV40" s="3">
        <v>-1.7882393107072601E-2</v>
      </c>
    </row>
    <row r="41" spans="1:48" x14ac:dyDescent="0.2">
      <c r="A41" t="s">
        <v>53</v>
      </c>
      <c r="B41">
        <v>2023</v>
      </c>
      <c r="C41">
        <v>65</v>
      </c>
      <c r="D41" t="s">
        <v>48</v>
      </c>
      <c r="E41" s="3">
        <v>79967</v>
      </c>
      <c r="F41" s="3">
        <v>1153</v>
      </c>
      <c r="G41" s="3">
        <v>223</v>
      </c>
      <c r="H41" s="3"/>
      <c r="I41" s="3">
        <v>38081</v>
      </c>
      <c r="J41" s="3">
        <v>1.5527500000000001</v>
      </c>
      <c r="K41" s="2">
        <v>1.5549166666666601</v>
      </c>
      <c r="L41" s="2">
        <v>742.55353405248695</v>
      </c>
      <c r="M41" s="3"/>
      <c r="N41" s="3">
        <v>0.13862989319999999</v>
      </c>
      <c r="O41" s="3">
        <v>30.914466183599998</v>
      </c>
      <c r="P41" s="2">
        <v>830.14616042821001</v>
      </c>
      <c r="Q41" s="3">
        <v>0.1431</v>
      </c>
      <c r="R41" s="3">
        <v>0.17380000000000001</v>
      </c>
      <c r="S41" s="3">
        <v>0.1239</v>
      </c>
      <c r="T41" s="3">
        <v>3.3270867000000002</v>
      </c>
      <c r="U41" s="2">
        <v>106.25941072291</v>
      </c>
      <c r="V41" s="3"/>
      <c r="W41" s="2">
        <v>102.85510927705501</v>
      </c>
      <c r="X41" s="2">
        <v>209.11451999996601</v>
      </c>
      <c r="Y41" s="2">
        <v>0.39305142802476101</v>
      </c>
      <c r="Z41" s="2"/>
      <c r="AA41" s="2">
        <f>Table1[[#This Row],[direct_tax]]*Table1[[#This Row],[kappa]]</f>
        <v>82.19276070669909</v>
      </c>
      <c r="AB41" s="2">
        <f>Table1[[#This Row],[direct_tax]]+Table1[[#This Row],[indirect_cost]]</f>
        <v>291.3072807066651</v>
      </c>
      <c r="AC41" s="3">
        <v>528</v>
      </c>
      <c r="AD41" s="3">
        <v>792</v>
      </c>
      <c r="AE41" s="3">
        <v>1056</v>
      </c>
      <c r="AF41" s="2">
        <v>580.79999999999995</v>
      </c>
      <c r="AG41" s="3">
        <v>871.2</v>
      </c>
      <c r="AH41" s="2">
        <v>1161.5999999999999</v>
      </c>
      <c r="AI41" s="3">
        <v>-236.69271929333399</v>
      </c>
      <c r="AJ41" s="3">
        <v>-500.69271929333399</v>
      </c>
      <c r="AK41" s="3">
        <v>-764.69271929333399</v>
      </c>
      <c r="AL41" s="3">
        <v>-289.49271929333401</v>
      </c>
      <c r="AM41" s="3">
        <v>-579.89271929333404</v>
      </c>
      <c r="AN41" s="3">
        <v>-870.29271929333402</v>
      </c>
      <c r="AO41" s="3">
        <v>5.4913085265609098E-3</v>
      </c>
      <c r="AP41" s="3">
        <v>7.6496751846502299E-3</v>
      </c>
      <c r="AQ41" s="3">
        <v>-6.2155069271640504E-3</v>
      </c>
      <c r="AR41" s="3">
        <v>-1.31480979830712E-2</v>
      </c>
      <c r="AS41" s="3">
        <v>-2.0080689038978299E-2</v>
      </c>
      <c r="AT41" s="3">
        <v>-7.6020251383454801E-3</v>
      </c>
      <c r="AU41" s="3">
        <v>-1.52278752998433E-2</v>
      </c>
      <c r="AV41" s="3">
        <v>-2.28537254613412E-2</v>
      </c>
    </row>
    <row r="42" spans="1:48" x14ac:dyDescent="0.2">
      <c r="A42" t="s">
        <v>53</v>
      </c>
      <c r="B42">
        <v>2024</v>
      </c>
      <c r="C42">
        <v>80</v>
      </c>
      <c r="D42" t="s">
        <v>48</v>
      </c>
      <c r="E42" s="3">
        <v>100887</v>
      </c>
      <c r="F42" s="3">
        <v>1153</v>
      </c>
      <c r="G42" s="3">
        <v>223</v>
      </c>
      <c r="H42" s="3"/>
      <c r="I42" s="3">
        <v>38081</v>
      </c>
      <c r="J42" s="4">
        <v>1.34116666666666</v>
      </c>
      <c r="K42" s="2">
        <v>1.3398333333333301</v>
      </c>
      <c r="L42" s="2">
        <v>859.69926680750496</v>
      </c>
      <c r="M42" s="3"/>
      <c r="N42" s="3">
        <v>0.13862989319999999</v>
      </c>
      <c r="O42" s="3">
        <v>30.914466183599998</v>
      </c>
      <c r="P42" s="2">
        <v>830.14616042821001</v>
      </c>
      <c r="Q42" s="3">
        <v>0.17610000000000001</v>
      </c>
      <c r="R42" s="3">
        <v>0.21390000000000001</v>
      </c>
      <c r="S42" s="3">
        <v>0.1525</v>
      </c>
      <c r="T42" s="3">
        <v>4.0950825000000002</v>
      </c>
      <c r="U42" s="2">
        <v>151.393040884801</v>
      </c>
      <c r="V42" s="3"/>
      <c r="W42" s="2">
        <v>126.597289465302</v>
      </c>
      <c r="X42" s="2">
        <v>277.99033035010302</v>
      </c>
      <c r="Y42" s="2">
        <v>0.28643255760049102</v>
      </c>
      <c r="Z42" s="2"/>
      <c r="AA42" s="2">
        <f>Table1[[#This Row],[direct_tax]]*Table1[[#This Row],[kappa]]</f>
        <v>79.62548131038541</v>
      </c>
      <c r="AB42" s="2">
        <f>Table1[[#This Row],[direct_tax]]+Table1[[#This Row],[indirect_cost]]</f>
        <v>357.61581166048842</v>
      </c>
      <c r="AC42" s="3">
        <v>600</v>
      </c>
      <c r="AD42" s="3">
        <v>900</v>
      </c>
      <c r="AE42" s="3">
        <v>1200</v>
      </c>
      <c r="AF42" s="3">
        <v>720</v>
      </c>
      <c r="AG42" s="3">
        <v>1080</v>
      </c>
      <c r="AH42" s="3">
        <v>1440</v>
      </c>
      <c r="AI42" s="3">
        <v>-242.38418833950999</v>
      </c>
      <c r="AJ42" s="3">
        <v>-542.38418833951005</v>
      </c>
      <c r="AK42" s="3">
        <v>-842.38418833951005</v>
      </c>
      <c r="AL42" s="3">
        <v>-362.38418833950999</v>
      </c>
      <c r="AM42" s="3">
        <v>-722.38418833951005</v>
      </c>
      <c r="AN42" s="3">
        <v>-1082.38418833951</v>
      </c>
      <c r="AO42" s="3">
        <v>7.2999745371734896E-3</v>
      </c>
      <c r="AP42" s="3">
        <v>9.3909249142745607E-3</v>
      </c>
      <c r="AQ42" s="3">
        <v>-6.3649638491507596E-3</v>
      </c>
      <c r="AR42" s="3">
        <v>-1.42429082308634E-2</v>
      </c>
      <c r="AS42" s="3">
        <v>-2.2120852612576E-2</v>
      </c>
      <c r="AT42" s="3">
        <v>-9.51614160183583E-3</v>
      </c>
      <c r="AU42" s="3">
        <v>-1.8969674859891001E-2</v>
      </c>
      <c r="AV42" s="3">
        <v>-2.84232081179462E-2</v>
      </c>
    </row>
    <row r="43" spans="1:48" x14ac:dyDescent="0.2">
      <c r="A43" t="s">
        <v>53</v>
      </c>
      <c r="B43">
        <v>2025</v>
      </c>
      <c r="C43">
        <v>0</v>
      </c>
      <c r="D43" t="s">
        <v>48</v>
      </c>
      <c r="E43" s="3">
        <v>100887</v>
      </c>
      <c r="F43" s="3">
        <v>1153</v>
      </c>
      <c r="G43" s="3">
        <v>223</v>
      </c>
      <c r="H43" s="3"/>
      <c r="I43" s="3">
        <v>38081</v>
      </c>
      <c r="J43" s="4">
        <v>1.36283333333333</v>
      </c>
      <c r="K43" s="2">
        <v>1.26558333333333</v>
      </c>
      <c r="L43" s="2">
        <v>846.03155191390397</v>
      </c>
      <c r="M43" s="3"/>
      <c r="N43" s="3">
        <v>0.13862989319999999</v>
      </c>
      <c r="O43" s="3">
        <v>30.914466183599998</v>
      </c>
      <c r="P43" s="2">
        <v>830.14616042821001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/>
      <c r="W43" s="3">
        <v>0</v>
      </c>
      <c r="X43" s="3">
        <v>0</v>
      </c>
      <c r="Y43" s="3">
        <v>0</v>
      </c>
      <c r="Z43" s="3"/>
      <c r="AA43" s="3">
        <f>Table1[[#This Row],[direct_tax]]*Table1[[#This Row],[kappa]]</f>
        <v>0</v>
      </c>
      <c r="AB43" s="3">
        <f>Table1[[#This Row],[direct_tax]]+Table1[[#This Row],[indirect_cost]]</f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</row>
    <row r="44" spans="1:48" x14ac:dyDescent="0.2">
      <c r="A44" t="s">
        <v>53</v>
      </c>
      <c r="B44">
        <v>2019</v>
      </c>
      <c r="C44">
        <v>20</v>
      </c>
      <c r="D44" t="s">
        <v>49</v>
      </c>
      <c r="E44" s="3">
        <v>113395</v>
      </c>
      <c r="F44" s="3">
        <v>1861</v>
      </c>
      <c r="G44" s="3">
        <v>292</v>
      </c>
      <c r="H44" s="3">
        <v>57</v>
      </c>
      <c r="I44" s="3">
        <v>55147</v>
      </c>
      <c r="J44" s="4">
        <v>1.09033333333333</v>
      </c>
      <c r="K44" s="2">
        <v>1.1459999999999999</v>
      </c>
      <c r="L44" s="2">
        <v>1706.81748700703</v>
      </c>
      <c r="M44" s="2">
        <v>49.738219895287898</v>
      </c>
      <c r="N44" s="3">
        <v>0.13862989319999999</v>
      </c>
      <c r="O44" s="3">
        <v>40.479928814399997</v>
      </c>
      <c r="P44" s="2">
        <v>1087.0075284530801</v>
      </c>
      <c r="Q44" s="3">
        <v>4.4200000000000003E-2</v>
      </c>
      <c r="R44" s="3">
        <v>5.3699999999999998E-2</v>
      </c>
      <c r="S44" s="3">
        <v>3.9100000000000003E-2</v>
      </c>
      <c r="T44" s="2">
        <v>1.0499522999999999</v>
      </c>
      <c r="U44" s="3">
        <v>75.441332925710796</v>
      </c>
      <c r="V44" s="2">
        <v>2.67094240837696</v>
      </c>
      <c r="W44" s="2">
        <v>42.501994362515497</v>
      </c>
      <c r="X44" s="2">
        <v>120.614269696603</v>
      </c>
      <c r="Y44" s="2">
        <v>0.71290803929757196</v>
      </c>
      <c r="Z44" s="2"/>
      <c r="AA44" s="2">
        <f>Table1[[#This Row],[direct_tax]]*Table1[[#This Row],[kappa]]</f>
        <v>85.986882520713792</v>
      </c>
      <c r="AB44" s="2">
        <f>Table1[[#This Row],[direct_tax]]+Table1[[#This Row],[indirect_cost]]</f>
        <v>206.60115221731678</v>
      </c>
      <c r="AC44" s="3">
        <v>170</v>
      </c>
      <c r="AD44" s="3">
        <v>255</v>
      </c>
      <c r="AE44" s="3">
        <v>339</v>
      </c>
      <c r="AF44" s="2">
        <v>187</v>
      </c>
      <c r="AG44" s="3">
        <v>280.5</v>
      </c>
      <c r="AH44" s="2">
        <v>372.9</v>
      </c>
      <c r="AI44" s="2">
        <v>36.601152217317399</v>
      </c>
      <c r="AJ44" s="3">
        <v>-48.398847782682502</v>
      </c>
      <c r="AK44" s="3">
        <v>-132.398847782682</v>
      </c>
      <c r="AL44" s="2">
        <v>19.601152217317399</v>
      </c>
      <c r="AM44" s="3">
        <v>-73.898847782682495</v>
      </c>
      <c r="AN44" s="3">
        <v>-166.298847782682</v>
      </c>
      <c r="AO44" s="3">
        <v>2.1871410901155601E-3</v>
      </c>
      <c r="AP44" s="3">
        <v>3.74637155633701E-3</v>
      </c>
      <c r="AQ44" s="3">
        <v>6.6370160148906401E-4</v>
      </c>
      <c r="AR44" s="3">
        <v>-8.7763337593491097E-4</v>
      </c>
      <c r="AS44" s="3">
        <v>-2.4008350006833102E-3</v>
      </c>
      <c r="AT44" s="3">
        <v>3.5543460600426799E-4</v>
      </c>
      <c r="AU44" s="3">
        <v>-1.3400338691621E-3</v>
      </c>
      <c r="AV44" s="3">
        <v>-3.0155556563853398E-3</v>
      </c>
    </row>
    <row r="45" spans="1:48" x14ac:dyDescent="0.2">
      <c r="A45" t="s">
        <v>53</v>
      </c>
      <c r="B45">
        <v>2020</v>
      </c>
      <c r="C45">
        <v>30</v>
      </c>
      <c r="D45" t="s">
        <v>49</v>
      </c>
      <c r="E45" s="3">
        <v>118950</v>
      </c>
      <c r="F45" s="3">
        <v>1681</v>
      </c>
      <c r="G45" s="3">
        <v>289.5</v>
      </c>
      <c r="H45" s="3">
        <v>57</v>
      </c>
      <c r="I45" s="3">
        <v>55146</v>
      </c>
      <c r="J45" s="3">
        <v>0.93674999999999997</v>
      </c>
      <c r="K45" s="2">
        <v>0.95808333333333295</v>
      </c>
      <c r="L45" s="2">
        <v>1794.5022684814501</v>
      </c>
      <c r="M45" s="2">
        <v>59.493780986344198</v>
      </c>
      <c r="N45" s="3">
        <v>0.13862989319999999</v>
      </c>
      <c r="O45" s="3">
        <v>40.1333540814</v>
      </c>
      <c r="P45" s="2">
        <v>1077.70095714783</v>
      </c>
      <c r="Q45" s="3">
        <v>6.6299999999999998E-2</v>
      </c>
      <c r="R45" s="3">
        <v>8.0500000000000002E-2</v>
      </c>
      <c r="S45" s="3">
        <v>5.8700000000000002E-2</v>
      </c>
      <c r="T45" s="2">
        <v>1.5762711</v>
      </c>
      <c r="U45" s="2">
        <v>118.97550040032</v>
      </c>
      <c r="V45" s="2">
        <v>4.7892493694007099</v>
      </c>
      <c r="W45" s="2">
        <v>63.2610461845778</v>
      </c>
      <c r="X45" s="2">
        <v>187.02579595429799</v>
      </c>
      <c r="Y45" s="2">
        <v>0.64182879234805901</v>
      </c>
      <c r="Z45" s="2"/>
      <c r="AA45" s="2">
        <f>Table1[[#This Row],[direct_tax]]*Table1[[#This Row],[kappa]]</f>
        <v>120.03854075528157</v>
      </c>
      <c r="AB45" s="3">
        <f>Table1[[#This Row],[direct_tax]]+Table1[[#This Row],[indirect_cost]]</f>
        <v>307.06433670957955</v>
      </c>
      <c r="AC45" s="3">
        <v>243</v>
      </c>
      <c r="AD45" s="3">
        <v>364</v>
      </c>
      <c r="AE45" s="3">
        <v>486</v>
      </c>
      <c r="AF45" s="3">
        <v>267.3</v>
      </c>
      <c r="AG45" s="2">
        <v>400.4</v>
      </c>
      <c r="AH45" s="3">
        <v>534.6</v>
      </c>
      <c r="AI45" s="2">
        <v>64.064336709580999</v>
      </c>
      <c r="AJ45" s="3">
        <v>-56.935663290418901</v>
      </c>
      <c r="AK45" s="3">
        <v>-178.93566329041801</v>
      </c>
      <c r="AL45" s="2">
        <v>39.764336709581002</v>
      </c>
      <c r="AM45" s="3">
        <v>-93.335663290419006</v>
      </c>
      <c r="AN45" s="3">
        <v>-227.535663290419</v>
      </c>
      <c r="AO45" s="3">
        <v>3.3914662161226299E-3</v>
      </c>
      <c r="AP45" s="3">
        <v>5.56820688190586E-3</v>
      </c>
      <c r="AQ45" s="3">
        <v>1.1617222774014601E-3</v>
      </c>
      <c r="AR45" s="3">
        <v>-1.0324531841007299E-3</v>
      </c>
      <c r="AS45" s="3">
        <v>-3.2447623271029402E-3</v>
      </c>
      <c r="AT45" s="3">
        <v>7.2107381695102096E-4</v>
      </c>
      <c r="AU45" s="3">
        <v>-1.69251919070139E-3</v>
      </c>
      <c r="AV45" s="3">
        <v>-4.1260592480038202E-3</v>
      </c>
    </row>
    <row r="46" spans="1:48" x14ac:dyDescent="0.2">
      <c r="A46" t="s">
        <v>53</v>
      </c>
      <c r="B46">
        <v>2021</v>
      </c>
      <c r="C46">
        <v>40</v>
      </c>
      <c r="D46" t="s">
        <v>49</v>
      </c>
      <c r="E46" s="3">
        <v>118844</v>
      </c>
      <c r="F46" s="3">
        <v>1501</v>
      </c>
      <c r="G46" s="3">
        <v>287</v>
      </c>
      <c r="H46" s="3">
        <v>57</v>
      </c>
      <c r="I46" s="3">
        <v>55145</v>
      </c>
      <c r="J46" s="4">
        <v>1.25941666666666</v>
      </c>
      <c r="K46" s="2">
        <v>1.1819166666666601</v>
      </c>
      <c r="L46" s="2">
        <v>1191.82161053397</v>
      </c>
      <c r="M46" s="2">
        <v>48.226750334907898</v>
      </c>
      <c r="N46" s="3">
        <v>0.13862989319999999</v>
      </c>
      <c r="O46" s="2">
        <v>39.786779348399897</v>
      </c>
      <c r="P46" s="2">
        <v>1068.39438584258</v>
      </c>
      <c r="Q46" s="3">
        <v>8.8400000000000006E-2</v>
      </c>
      <c r="R46" s="3">
        <v>0.10730000000000001</v>
      </c>
      <c r="S46" s="3">
        <v>7.8299999999999995E-2</v>
      </c>
      <c r="T46" s="3">
        <v>2.1025898999999999</v>
      </c>
      <c r="U46" s="2">
        <v>105.357030371203</v>
      </c>
      <c r="V46" s="2">
        <v>5.1747303109356197</v>
      </c>
      <c r="W46" s="2">
        <v>83.655280411474394</v>
      </c>
      <c r="X46" s="2">
        <v>194.187041093613</v>
      </c>
      <c r="Y46" s="2">
        <v>0.57074954539854506</v>
      </c>
      <c r="Z46" s="2"/>
      <c r="AA46" s="2">
        <f>Table1[[#This Row],[direct_tax]]*Table1[[#This Row],[kappa]]</f>
        <v>110.83216542646821</v>
      </c>
      <c r="AB46" s="2">
        <f>Table1[[#This Row],[direct_tax]]+Table1[[#This Row],[indirect_cost]]</f>
        <v>305.01920652008118</v>
      </c>
      <c r="AC46" s="3">
        <v>360</v>
      </c>
      <c r="AD46" s="3">
        <v>540</v>
      </c>
      <c r="AE46" s="3">
        <v>720</v>
      </c>
      <c r="AF46" s="2">
        <v>396</v>
      </c>
      <c r="AG46" s="3">
        <v>594</v>
      </c>
      <c r="AH46" s="2">
        <v>792</v>
      </c>
      <c r="AI46" s="3">
        <v>-54.980793479917601</v>
      </c>
      <c r="AJ46" s="3">
        <v>-234.980793479917</v>
      </c>
      <c r="AK46" s="3">
        <v>-414.980793479917</v>
      </c>
      <c r="AL46" s="3">
        <v>-90.980793479917693</v>
      </c>
      <c r="AM46" s="3">
        <v>-288.980793479917</v>
      </c>
      <c r="AN46" s="3">
        <v>-486.980793479917</v>
      </c>
      <c r="AO46" s="3">
        <v>3.5213898103837798E-3</v>
      </c>
      <c r="AP46" s="3">
        <v>5.5312214438313903E-3</v>
      </c>
      <c r="AQ46" s="3">
        <v>-9.970222772675251E-4</v>
      </c>
      <c r="AR46" s="3">
        <v>-4.2611441378169797E-3</v>
      </c>
      <c r="AS46" s="3">
        <v>-7.5252659983664396E-3</v>
      </c>
      <c r="AT46" s="3">
        <v>-1.6498466493774101E-3</v>
      </c>
      <c r="AU46" s="3">
        <v>-5.2403806959818201E-3</v>
      </c>
      <c r="AV46" s="3">
        <v>-8.8309147425862308E-3</v>
      </c>
    </row>
    <row r="47" spans="1:48" x14ac:dyDescent="0.2">
      <c r="A47" t="s">
        <v>53</v>
      </c>
      <c r="B47">
        <v>2022</v>
      </c>
      <c r="C47">
        <v>50</v>
      </c>
      <c r="D47" t="s">
        <v>49</v>
      </c>
      <c r="E47" s="3">
        <v>119469</v>
      </c>
      <c r="F47" s="3">
        <v>1619.5</v>
      </c>
      <c r="G47" s="3">
        <v>334.5</v>
      </c>
      <c r="H47" s="3">
        <v>43.5</v>
      </c>
      <c r="I47" s="3">
        <v>57728.5</v>
      </c>
      <c r="J47" s="4">
        <v>1.70891666666666</v>
      </c>
      <c r="K47" s="2">
        <v>1.7853333333333301</v>
      </c>
      <c r="L47" s="2">
        <v>947.67640317940197</v>
      </c>
      <c r="M47" s="2">
        <v>24.3651979088872</v>
      </c>
      <c r="N47" s="3">
        <v>0.13862989319999999</v>
      </c>
      <c r="O47" s="3">
        <v>46.371699275399997</v>
      </c>
      <c r="P47" s="2">
        <v>1245.2192406423101</v>
      </c>
      <c r="Q47" s="3">
        <v>0.1105</v>
      </c>
      <c r="R47" s="3">
        <v>0.1341</v>
      </c>
      <c r="S47" s="3">
        <v>9.7900000000000001E-2</v>
      </c>
      <c r="T47" s="3">
        <v>2.6289087000000002</v>
      </c>
      <c r="U47" s="2">
        <v>104.718242551323</v>
      </c>
      <c r="V47" s="2">
        <v>3.2673730395817699</v>
      </c>
      <c r="W47" s="2">
        <v>121.90696365888201</v>
      </c>
      <c r="X47" s="2">
        <v>229.89257924978801</v>
      </c>
      <c r="Y47" s="2">
        <v>0.49967029844903199</v>
      </c>
      <c r="Z47" s="2"/>
      <c r="AA47" s="2">
        <f>Table1[[#This Row],[direct_tax]]*Table1[[#This Row],[kappa]]</f>
        <v>114.87049368495931</v>
      </c>
      <c r="AB47" s="2">
        <f>Table1[[#This Row],[direct_tax]]+Table1[[#This Row],[indirect_cost]]</f>
        <v>344.76307293474736</v>
      </c>
      <c r="AC47" s="3">
        <v>416</v>
      </c>
      <c r="AD47" s="3">
        <v>624</v>
      </c>
      <c r="AE47" s="3">
        <v>832</v>
      </c>
      <c r="AF47" s="3">
        <v>457.6</v>
      </c>
      <c r="AG47" s="2">
        <v>686.4</v>
      </c>
      <c r="AH47" s="3">
        <v>915.2</v>
      </c>
      <c r="AI47" s="3">
        <v>-71.236927065251905</v>
      </c>
      <c r="AJ47" s="3">
        <v>-279.236927065251</v>
      </c>
      <c r="AK47" s="3">
        <v>-487.236927065251</v>
      </c>
      <c r="AL47" s="3">
        <v>-112.836927065251</v>
      </c>
      <c r="AM47" s="3">
        <v>-341.636927065252</v>
      </c>
      <c r="AN47" s="3">
        <v>-570.43692706525201</v>
      </c>
      <c r="AO47" s="3">
        <v>3.98230647340201E-3</v>
      </c>
      <c r="AP47" s="3">
        <v>5.9721467374823098E-3</v>
      </c>
      <c r="AQ47" s="3">
        <v>-1.23399927358673E-3</v>
      </c>
      <c r="AR47" s="3">
        <v>-4.8370722791212604E-3</v>
      </c>
      <c r="AS47" s="3">
        <v>-8.4401452846557899E-3</v>
      </c>
      <c r="AT47" s="3">
        <v>-1.95461387469364E-3</v>
      </c>
      <c r="AU47" s="3">
        <v>-5.9179941807816199E-3</v>
      </c>
      <c r="AV47" s="3">
        <v>-9.8813744868696003E-3</v>
      </c>
    </row>
    <row r="48" spans="1:48" x14ac:dyDescent="0.2">
      <c r="A48" t="s">
        <v>53</v>
      </c>
      <c r="B48">
        <v>2023</v>
      </c>
      <c r="C48">
        <v>65</v>
      </c>
      <c r="D48" t="s">
        <v>49</v>
      </c>
      <c r="E48" s="3">
        <v>125134</v>
      </c>
      <c r="F48" s="3">
        <v>1738</v>
      </c>
      <c r="G48" s="3">
        <v>382</v>
      </c>
      <c r="H48" s="3">
        <v>30</v>
      </c>
      <c r="I48" s="3">
        <v>60312</v>
      </c>
      <c r="J48" s="3">
        <v>1.5527500000000001</v>
      </c>
      <c r="K48" s="2">
        <v>1.5549166666666601</v>
      </c>
      <c r="L48" s="2">
        <v>1119.30445982933</v>
      </c>
      <c r="M48" s="2">
        <v>19.293638458652602</v>
      </c>
      <c r="N48" s="3">
        <v>0.13862989319999999</v>
      </c>
      <c r="O48" s="3">
        <v>52.956619202399999</v>
      </c>
      <c r="P48" s="2">
        <v>1422.0440954420401</v>
      </c>
      <c r="Q48" s="3">
        <v>0.1431</v>
      </c>
      <c r="R48" s="3">
        <v>0.17380000000000001</v>
      </c>
      <c r="S48" s="3">
        <v>0.1239</v>
      </c>
      <c r="T48" s="3">
        <v>3.3270867000000002</v>
      </c>
      <c r="U48" s="2">
        <v>160.172468201577</v>
      </c>
      <c r="V48" s="2">
        <v>3.3532343641138298</v>
      </c>
      <c r="W48" s="2">
        <v>176.191263425269</v>
      </c>
      <c r="X48" s="2">
        <v>339.716965990961</v>
      </c>
      <c r="Y48" s="2">
        <v>0.39305142802476101</v>
      </c>
      <c r="Z48" s="2"/>
      <c r="AA48" s="2">
        <f>Table1[[#This Row],[direct_tax]]*Table1[[#This Row],[kappa]]</f>
        <v>133.5262386069864</v>
      </c>
      <c r="AB48" s="3">
        <f>Table1[[#This Row],[direct_tax]]+Table1[[#This Row],[indirect_cost]]</f>
        <v>473.2432045979474</v>
      </c>
      <c r="AC48" s="3">
        <v>528</v>
      </c>
      <c r="AD48" s="3">
        <v>792</v>
      </c>
      <c r="AE48" s="3">
        <v>1056</v>
      </c>
      <c r="AF48" s="2">
        <v>580.79999999999995</v>
      </c>
      <c r="AG48" s="3">
        <v>871.2</v>
      </c>
      <c r="AH48" s="2">
        <v>1161.5999999999999</v>
      </c>
      <c r="AI48" s="3">
        <v>-54.7567954020519</v>
      </c>
      <c r="AJ48" s="3">
        <v>-318.75679540205198</v>
      </c>
      <c r="AK48" s="3">
        <v>-582.75679540205101</v>
      </c>
      <c r="AL48" s="3">
        <v>-107.556795402052</v>
      </c>
      <c r="AM48" s="3">
        <v>-397.95679540205202</v>
      </c>
      <c r="AN48" s="3">
        <v>-688.35679540205194</v>
      </c>
      <c r="AO48" s="3">
        <v>5.63265960324581E-3</v>
      </c>
      <c r="AP48" s="3">
        <v>7.8465845038789596E-3</v>
      </c>
      <c r="AQ48" s="3">
        <v>-9.0789221717157401E-4</v>
      </c>
      <c r="AR48" s="3">
        <v>-5.2851305776968399E-3</v>
      </c>
      <c r="AS48" s="3">
        <v>-9.6623689382221104E-3</v>
      </c>
      <c r="AT48" s="3">
        <v>-1.7833398892766199E-3</v>
      </c>
      <c r="AU48" s="3">
        <v>-6.5983020858544203E-3</v>
      </c>
      <c r="AV48" s="3">
        <v>-1.14132642824322E-2</v>
      </c>
    </row>
    <row r="49" spans="1:48" x14ac:dyDescent="0.2">
      <c r="A49" t="s">
        <v>53</v>
      </c>
      <c r="B49">
        <v>2024</v>
      </c>
      <c r="C49">
        <v>80</v>
      </c>
      <c r="D49" t="s">
        <v>49</v>
      </c>
      <c r="E49" s="3">
        <v>129206</v>
      </c>
      <c r="F49" s="3">
        <v>1738</v>
      </c>
      <c r="G49" s="3">
        <v>382</v>
      </c>
      <c r="H49" s="3">
        <v>30</v>
      </c>
      <c r="I49" s="3">
        <v>60312</v>
      </c>
      <c r="J49" s="4">
        <v>1.34116666666666</v>
      </c>
      <c r="K49" s="2">
        <v>1.3398333333333301</v>
      </c>
      <c r="L49" s="2">
        <v>1295.8866658382001</v>
      </c>
      <c r="M49" s="2">
        <v>22.390844632416901</v>
      </c>
      <c r="N49" s="3">
        <v>0.13862989319999999</v>
      </c>
      <c r="O49" s="3">
        <v>52.956619202399999</v>
      </c>
      <c r="P49" s="2">
        <v>1422.0440954420401</v>
      </c>
      <c r="Q49" s="3">
        <v>0.17610000000000001</v>
      </c>
      <c r="R49" s="3">
        <v>0.21390000000000001</v>
      </c>
      <c r="S49" s="3">
        <v>0.1525</v>
      </c>
      <c r="T49" s="3">
        <v>4.0950825000000002</v>
      </c>
      <c r="U49" s="2">
        <v>228.205641854107</v>
      </c>
      <c r="V49" s="3">
        <v>4.7894016668739896</v>
      </c>
      <c r="W49" s="2">
        <v>216.861724554912</v>
      </c>
      <c r="X49" s="2">
        <v>449.856768075893</v>
      </c>
      <c r="Y49" s="2">
        <v>0.28643255760049102</v>
      </c>
      <c r="Z49" s="2"/>
      <c r="AA49" s="2">
        <f>Table1[[#This Row],[direct_tax]]*Table1[[#This Row],[kappa]]</f>
        <v>128.85362463386895</v>
      </c>
      <c r="AB49" s="2">
        <f>Table1[[#This Row],[direct_tax]]+Table1[[#This Row],[indirect_cost]]</f>
        <v>578.71039270976189</v>
      </c>
      <c r="AC49" s="3">
        <v>600</v>
      </c>
      <c r="AD49" s="3">
        <v>900</v>
      </c>
      <c r="AE49" s="3">
        <v>1200</v>
      </c>
      <c r="AF49" s="3">
        <v>720</v>
      </c>
      <c r="AG49" s="3">
        <v>1080</v>
      </c>
      <c r="AH49" s="3">
        <v>1440</v>
      </c>
      <c r="AI49" s="3">
        <v>-21.289607290237502</v>
      </c>
      <c r="AJ49" s="3">
        <v>-321.28960729023697</v>
      </c>
      <c r="AK49" s="3">
        <v>-621.28960729023697</v>
      </c>
      <c r="AL49" s="3">
        <v>-141.289607290237</v>
      </c>
      <c r="AM49" s="3">
        <v>-501.28960729023697</v>
      </c>
      <c r="AN49" s="3">
        <v>-861.28960729023697</v>
      </c>
      <c r="AO49" s="3">
        <v>7.4588269013777199E-3</v>
      </c>
      <c r="AP49" s="3">
        <v>9.59527776743869E-3</v>
      </c>
      <c r="AQ49" s="3">
        <v>-3.5299123375509903E-4</v>
      </c>
      <c r="AR49" s="3">
        <v>-5.3271257343519901E-3</v>
      </c>
      <c r="AS49" s="3">
        <v>-1.03012602349488E-2</v>
      </c>
      <c r="AT49" s="3">
        <v>-2.3426450339938498E-3</v>
      </c>
      <c r="AU49" s="3">
        <v>-8.3116064347101299E-3</v>
      </c>
      <c r="AV49" s="3">
        <v>-1.4280567835426399E-2</v>
      </c>
    </row>
    <row r="50" spans="1:48" x14ac:dyDescent="0.2">
      <c r="A50" t="s">
        <v>53</v>
      </c>
      <c r="B50">
        <v>2025</v>
      </c>
      <c r="C50">
        <v>0</v>
      </c>
      <c r="D50" t="s">
        <v>49</v>
      </c>
      <c r="E50" s="3">
        <v>129206</v>
      </c>
      <c r="F50" s="3">
        <v>1738</v>
      </c>
      <c r="G50" s="3">
        <v>382</v>
      </c>
      <c r="H50" s="3">
        <v>30</v>
      </c>
      <c r="I50" s="3">
        <v>60312</v>
      </c>
      <c r="J50" s="4">
        <v>1.36283333333333</v>
      </c>
      <c r="K50" s="2">
        <v>1.26558333333333</v>
      </c>
      <c r="L50" s="2">
        <v>1275.2843341078601</v>
      </c>
      <c r="M50" s="2">
        <v>23.704484098241899</v>
      </c>
      <c r="N50" s="3">
        <v>0.13862989319999999</v>
      </c>
      <c r="O50" s="3">
        <v>52.956619202399999</v>
      </c>
      <c r="P50" s="2">
        <v>1422.0440954420401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/>
      <c r="AA50" s="3">
        <f>Table1[[#This Row],[direct_tax]]*Table1[[#This Row],[kappa]]</f>
        <v>0</v>
      </c>
      <c r="AB50" s="3">
        <f>Table1[[#This Row],[direct_tax]]+Table1[[#This Row],[indirect_cost]]</f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</row>
    <row r="51" spans="1:48" x14ac:dyDescent="0.2">
      <c r="A51" t="s">
        <v>53</v>
      </c>
      <c r="B51">
        <v>2019</v>
      </c>
      <c r="C51">
        <v>20</v>
      </c>
      <c r="D51" t="s">
        <v>50</v>
      </c>
      <c r="E51" s="3">
        <v>113961</v>
      </c>
      <c r="F51" s="3">
        <v>2549</v>
      </c>
      <c r="G51" s="3">
        <v>399</v>
      </c>
      <c r="H51" s="3">
        <v>41</v>
      </c>
      <c r="I51" s="3">
        <v>75484</v>
      </c>
      <c r="J51" s="4">
        <v>1.09033333333333</v>
      </c>
      <c r="K51" s="2">
        <v>1.1459999999999999</v>
      </c>
      <c r="L51" s="2">
        <v>2337.8171812901201</v>
      </c>
      <c r="M51" s="2">
        <v>35.776614310645698</v>
      </c>
      <c r="N51" s="3">
        <v>0.13862989319999999</v>
      </c>
      <c r="O51" s="3">
        <v>55.313327386799997</v>
      </c>
      <c r="P51" s="2">
        <v>1485.32878031774</v>
      </c>
      <c r="Q51" s="3">
        <v>4.4200000000000003E-2</v>
      </c>
      <c r="R51" s="3">
        <v>5.3699999999999998E-2</v>
      </c>
      <c r="S51" s="3">
        <v>3.9100000000000003E-2</v>
      </c>
      <c r="T51" s="2">
        <v>1.0499522999999999</v>
      </c>
      <c r="U51" s="2">
        <v>103.331519413023</v>
      </c>
      <c r="V51" s="2">
        <v>1.92120418848167</v>
      </c>
      <c r="W51" s="2">
        <v>58.076355310423601</v>
      </c>
      <c r="X51" s="2">
        <v>163.32907891192801</v>
      </c>
      <c r="Y51" s="2">
        <v>0.71290803929757196</v>
      </c>
      <c r="Z51" s="2"/>
      <c r="AA51" s="2">
        <f>Table1[[#This Row],[direct_tax]]*Table1[[#This Row],[kappa]]</f>
        <v>116.438613407381</v>
      </c>
      <c r="AB51" s="2">
        <f>Table1[[#This Row],[direct_tax]]+Table1[[#This Row],[indirect_cost]]</f>
        <v>279.76769231930899</v>
      </c>
      <c r="AC51" s="3">
        <v>170</v>
      </c>
      <c r="AD51" s="3">
        <v>255</v>
      </c>
      <c r="AE51" s="3">
        <v>339</v>
      </c>
      <c r="AF51" s="2">
        <v>187</v>
      </c>
      <c r="AG51" s="3">
        <v>280.5</v>
      </c>
      <c r="AH51" s="2">
        <v>372.9</v>
      </c>
      <c r="AI51" s="2">
        <v>109.76769231931</v>
      </c>
      <c r="AJ51" s="2">
        <v>24.767692319310601</v>
      </c>
      <c r="AK51" s="3">
        <v>-59.232307680689303</v>
      </c>
      <c r="AL51" s="2">
        <v>92.767692319310598</v>
      </c>
      <c r="AM51" s="3">
        <v>-0.73230768068935903</v>
      </c>
      <c r="AN51" s="3">
        <v>-93.132307680689394</v>
      </c>
      <c r="AO51" s="3">
        <v>2.1637576030937499E-3</v>
      </c>
      <c r="AP51" s="3">
        <v>3.7063177934305298E-3</v>
      </c>
      <c r="AQ51" s="3">
        <v>1.45418489109361E-3</v>
      </c>
      <c r="AR51" s="3">
        <v>3.2811843992515801E-4</v>
      </c>
      <c r="AS51" s="3">
        <v>-7.8470017064131905E-4</v>
      </c>
      <c r="AT51" s="3">
        <v>1.2289716008599199E-3</v>
      </c>
      <c r="AU51" s="3">
        <v>-9.7014954253796698E-6</v>
      </c>
      <c r="AV51" s="3">
        <v>-1.2338019670485E-3</v>
      </c>
    </row>
    <row r="52" spans="1:48" x14ac:dyDescent="0.2">
      <c r="A52" t="s">
        <v>53</v>
      </c>
      <c r="B52">
        <v>2020</v>
      </c>
      <c r="C52">
        <v>30</v>
      </c>
      <c r="D52" t="s">
        <v>50</v>
      </c>
      <c r="E52" s="3">
        <v>109393</v>
      </c>
      <c r="F52" s="3">
        <v>2535.5</v>
      </c>
      <c r="G52" s="3">
        <v>425</v>
      </c>
      <c r="H52" s="3">
        <v>66</v>
      </c>
      <c r="I52" s="3">
        <v>77806.5</v>
      </c>
      <c r="J52" s="3">
        <v>0.93674999999999997</v>
      </c>
      <c r="K52" s="2">
        <v>0.95808333333333295</v>
      </c>
      <c r="L52" s="2">
        <v>2706.6986922871602</v>
      </c>
      <c r="M52" s="2">
        <v>68.887535878924893</v>
      </c>
      <c r="N52" s="3">
        <v>0.13862989319999999</v>
      </c>
      <c r="O52" s="2">
        <v>58.917704609999902</v>
      </c>
      <c r="P52" s="3">
        <v>1582.11712189233</v>
      </c>
      <c r="Q52" s="3">
        <v>6.6299999999999998E-2</v>
      </c>
      <c r="R52" s="3">
        <v>8.0500000000000002E-2</v>
      </c>
      <c r="S52" s="3">
        <v>5.8700000000000002E-2</v>
      </c>
      <c r="T52" s="2">
        <v>1.5762711</v>
      </c>
      <c r="U52" s="2">
        <v>179.454123298638</v>
      </c>
      <c r="V52" s="2">
        <v>5.5454466382534502</v>
      </c>
      <c r="W52" s="2">
        <v>92.870275055079702</v>
      </c>
      <c r="X52" s="2">
        <v>277.869844991972</v>
      </c>
      <c r="Y52" s="2">
        <v>0.64182879234805901</v>
      </c>
      <c r="Z52" s="2"/>
      <c r="AA52" s="2">
        <f>Table1[[#This Row],[direct_tax]]*Table1[[#This Row],[kappa]]</f>
        <v>178.34486704113974</v>
      </c>
      <c r="AB52" s="2">
        <f>Table1[[#This Row],[direct_tax]]+Table1[[#This Row],[indirect_cost]]</f>
        <v>456.21471203311171</v>
      </c>
      <c r="AC52" s="3">
        <v>243</v>
      </c>
      <c r="AD52" s="3">
        <v>364</v>
      </c>
      <c r="AE52" s="3">
        <v>486</v>
      </c>
      <c r="AF52" s="3">
        <v>267.3</v>
      </c>
      <c r="AG52" s="2">
        <v>400.4</v>
      </c>
      <c r="AH52" s="3">
        <v>534.6</v>
      </c>
      <c r="AI52" s="2">
        <v>213.21471203311199</v>
      </c>
      <c r="AJ52" s="2">
        <v>92.214712033112093</v>
      </c>
      <c r="AK52" s="3">
        <v>-29.7852879668878</v>
      </c>
      <c r="AL52" s="2">
        <v>188.91471203311201</v>
      </c>
      <c r="AM52" s="2">
        <v>55.814712033112002</v>
      </c>
      <c r="AN52" s="3">
        <v>-78.385287966887901</v>
      </c>
      <c r="AO52" s="3">
        <v>3.5712934650957398E-3</v>
      </c>
      <c r="AP52" s="3">
        <v>5.86345243691866E-3</v>
      </c>
      <c r="AQ52" s="3">
        <v>2.7403200508069598E-3</v>
      </c>
      <c r="AR52" s="3">
        <v>1.18518005607644E-3</v>
      </c>
      <c r="AS52" s="3">
        <v>-3.8281233530473499E-4</v>
      </c>
      <c r="AT52" s="3">
        <v>2.4280068121957901E-3</v>
      </c>
      <c r="AU52" s="3">
        <v>7.1735281799222505E-4</v>
      </c>
      <c r="AV52" s="3">
        <v>-1.00743881252707E-3</v>
      </c>
    </row>
    <row r="53" spans="1:48" x14ac:dyDescent="0.2">
      <c r="A53" t="s">
        <v>53</v>
      </c>
      <c r="B53">
        <v>2021</v>
      </c>
      <c r="C53">
        <v>40</v>
      </c>
      <c r="D53" t="s">
        <v>50</v>
      </c>
      <c r="E53" s="3">
        <v>112945</v>
      </c>
      <c r="F53" s="3">
        <v>2522</v>
      </c>
      <c r="G53" s="3">
        <v>451</v>
      </c>
      <c r="H53" s="3">
        <v>91</v>
      </c>
      <c r="I53" s="3">
        <v>80129</v>
      </c>
      <c r="J53" s="4">
        <v>1.25941666666666</v>
      </c>
      <c r="K53" s="2">
        <v>1.1819166666666601</v>
      </c>
      <c r="L53" s="2">
        <v>2002.5143915834001</v>
      </c>
      <c r="M53" s="3">
        <v>76.993583868011001</v>
      </c>
      <c r="N53" s="3">
        <v>0.13862989319999999</v>
      </c>
      <c r="O53" s="3">
        <v>62.522081833199998</v>
      </c>
      <c r="P53" s="2">
        <v>1678.9054634669101</v>
      </c>
      <c r="Q53" s="3">
        <v>8.8400000000000006E-2</v>
      </c>
      <c r="R53" s="3">
        <v>0.10730000000000001</v>
      </c>
      <c r="S53" s="3">
        <v>7.8299999999999995E-2</v>
      </c>
      <c r="T53" s="3">
        <v>2.1025898999999999</v>
      </c>
      <c r="U53" s="2">
        <v>177.022272215973</v>
      </c>
      <c r="V53" s="3">
        <v>8.2614115490375806</v>
      </c>
      <c r="W53" s="2">
        <v>131.45829778945901</v>
      </c>
      <c r="X53" s="2">
        <v>316.74198155446999</v>
      </c>
      <c r="Y53" s="2">
        <v>0.57074954539854506</v>
      </c>
      <c r="Z53" s="2"/>
      <c r="AA53" s="2">
        <f>Table1[[#This Row],[direct_tax]]*Table1[[#This Row],[kappa]]</f>
        <v>180.78034198084808</v>
      </c>
      <c r="AB53" s="2">
        <f>Table1[[#This Row],[direct_tax]]+Table1[[#This Row],[indirect_cost]]</f>
        <v>497.52232353531804</v>
      </c>
      <c r="AC53" s="3">
        <v>360</v>
      </c>
      <c r="AD53" s="3">
        <v>540</v>
      </c>
      <c r="AE53" s="3">
        <v>720</v>
      </c>
      <c r="AF53" s="2">
        <v>396</v>
      </c>
      <c r="AG53" s="3">
        <v>594</v>
      </c>
      <c r="AH53" s="2">
        <v>792</v>
      </c>
      <c r="AI53" s="2">
        <v>137.52232353531801</v>
      </c>
      <c r="AJ53" s="3">
        <v>-42.477676464681103</v>
      </c>
      <c r="AK53" s="3">
        <v>-222.477676464681</v>
      </c>
      <c r="AL53" s="2">
        <v>101.52232353531799</v>
      </c>
      <c r="AM53" s="3">
        <v>-96.477676464681096</v>
      </c>
      <c r="AN53" s="3">
        <v>-294.477676464681</v>
      </c>
      <c r="AO53" s="3">
        <v>3.9529007170246702E-3</v>
      </c>
      <c r="AP53" s="3">
        <v>6.2090170042720903E-3</v>
      </c>
      <c r="AQ53" s="3">
        <v>1.71626157240598E-3</v>
      </c>
      <c r="AR53" s="3">
        <v>-5.3011614352707604E-4</v>
      </c>
      <c r="AS53" s="3">
        <v>-2.7764938594601299E-3</v>
      </c>
      <c r="AT53" s="3">
        <v>1.2669860292193599E-3</v>
      </c>
      <c r="AU53" s="3">
        <v>-1.2040294583069899E-3</v>
      </c>
      <c r="AV53" s="3">
        <v>-3.6750449458333501E-3</v>
      </c>
    </row>
    <row r="54" spans="1:48" x14ac:dyDescent="0.2">
      <c r="A54" t="s">
        <v>53</v>
      </c>
      <c r="B54">
        <v>2022</v>
      </c>
      <c r="C54">
        <v>50</v>
      </c>
      <c r="D54" t="s">
        <v>50</v>
      </c>
      <c r="E54" s="3">
        <v>110352</v>
      </c>
      <c r="F54" s="3">
        <v>2684.5</v>
      </c>
      <c r="G54" s="3">
        <v>380</v>
      </c>
      <c r="H54" s="3">
        <v>72</v>
      </c>
      <c r="I54" s="3">
        <v>79072.5</v>
      </c>
      <c r="J54" s="4">
        <v>1.70891666666666</v>
      </c>
      <c r="K54" s="2">
        <v>1.7853333333333301</v>
      </c>
      <c r="L54" s="2">
        <v>1570.87823669966</v>
      </c>
      <c r="M54" s="2">
        <v>40.328603435399501</v>
      </c>
      <c r="N54" s="3">
        <v>0.13862989319999999</v>
      </c>
      <c r="O54" s="3">
        <v>52.679359415999997</v>
      </c>
      <c r="P54" s="2">
        <v>1414.5988383978399</v>
      </c>
      <c r="Q54" s="3">
        <v>0.1105</v>
      </c>
      <c r="R54" s="3">
        <v>0.1341</v>
      </c>
      <c r="S54" s="3">
        <v>9.7900000000000001E-2</v>
      </c>
      <c r="T54" s="3">
        <v>2.6289087000000002</v>
      </c>
      <c r="U54" s="2">
        <v>173.58204515531199</v>
      </c>
      <c r="V54" s="3">
        <v>5.4080657206870804</v>
      </c>
      <c r="W54" s="2">
        <v>138.48922627914899</v>
      </c>
      <c r="X54" s="2">
        <v>317.47933715514898</v>
      </c>
      <c r="Y54" s="2">
        <v>0.49967029844903199</v>
      </c>
      <c r="Z54" s="2"/>
      <c r="AA54" s="2">
        <f>Table1[[#This Row],[direct_tax]]*Table1[[#This Row],[kappa]]</f>
        <v>158.63499514771414</v>
      </c>
      <c r="AB54" s="2">
        <f>Table1[[#This Row],[direct_tax]]+Table1[[#This Row],[indirect_cost]]</f>
        <v>476.11433230286309</v>
      </c>
      <c r="AC54" s="3">
        <v>416</v>
      </c>
      <c r="AD54" s="3">
        <v>624</v>
      </c>
      <c r="AE54" s="3">
        <v>832</v>
      </c>
      <c r="AF54" s="3">
        <v>457.6</v>
      </c>
      <c r="AG54" s="2">
        <v>686.4</v>
      </c>
      <c r="AH54" s="3">
        <v>915.2</v>
      </c>
      <c r="AI54" s="2">
        <v>60.114332302863502</v>
      </c>
      <c r="AJ54" s="3">
        <v>-147.885667697136</v>
      </c>
      <c r="AK54" s="3">
        <v>-355.885667697136</v>
      </c>
      <c r="AL54" s="2">
        <v>18.514332302863501</v>
      </c>
      <c r="AM54" s="3">
        <v>-210.28566769713601</v>
      </c>
      <c r="AN54" s="3">
        <v>-439.08566769713599</v>
      </c>
      <c r="AO54" s="3">
        <v>4.0150410971595499E-3</v>
      </c>
      <c r="AP54" s="3">
        <v>6.0212378804623996E-3</v>
      </c>
      <c r="AQ54" s="3">
        <v>7.6024322366010299E-4</v>
      </c>
      <c r="AR54" s="3">
        <v>-1.8702541047410401E-3</v>
      </c>
      <c r="AS54" s="3">
        <v>-4.5007514331421904E-3</v>
      </c>
      <c r="AT54" s="3">
        <v>2.3414375797987301E-4</v>
      </c>
      <c r="AU54" s="3">
        <v>-2.6594033032613898E-3</v>
      </c>
      <c r="AV54" s="3">
        <v>-5.5529503645026504E-3</v>
      </c>
    </row>
    <row r="55" spans="1:48" x14ac:dyDescent="0.2">
      <c r="A55" t="s">
        <v>53</v>
      </c>
      <c r="B55">
        <v>2023</v>
      </c>
      <c r="C55">
        <v>65</v>
      </c>
      <c r="D55" t="s">
        <v>50</v>
      </c>
      <c r="E55" s="3">
        <v>125262</v>
      </c>
      <c r="F55" s="3">
        <v>2847</v>
      </c>
      <c r="G55" s="3">
        <v>309</v>
      </c>
      <c r="H55" s="3">
        <v>53</v>
      </c>
      <c r="I55" s="3">
        <v>78016</v>
      </c>
      <c r="J55" s="3">
        <v>1.5527500000000001</v>
      </c>
      <c r="K55" s="2">
        <v>1.5549166666666601</v>
      </c>
      <c r="L55" s="2">
        <v>1833.5211721139899</v>
      </c>
      <c r="M55" s="3">
        <v>34.085427943619699</v>
      </c>
      <c r="N55" s="3">
        <v>0.13862989319999999</v>
      </c>
      <c r="O55" s="2">
        <v>42.836636998799897</v>
      </c>
      <c r="P55" s="2">
        <v>1150.29221332877</v>
      </c>
      <c r="Q55" s="3">
        <v>0.1431</v>
      </c>
      <c r="R55" s="3">
        <v>0.17380000000000001</v>
      </c>
      <c r="S55" s="3">
        <v>0.1239</v>
      </c>
      <c r="T55" s="3">
        <v>3.3270867000000002</v>
      </c>
      <c r="U55" s="2">
        <v>262.37687972951198</v>
      </c>
      <c r="V55" s="2">
        <v>5.9240473766011004</v>
      </c>
      <c r="W55" s="2">
        <v>142.521205231435</v>
      </c>
      <c r="X55" s="2">
        <v>410.822132337548</v>
      </c>
      <c r="Y55" s="2">
        <v>0.39305142802476101</v>
      </c>
      <c r="Z55" s="2"/>
      <c r="AA55" s="2">
        <f>Table1[[#This Row],[direct_tax]]*Table1[[#This Row],[kappa]]</f>
        <v>161.47422577945059</v>
      </c>
      <c r="AB55" s="2">
        <f>Table1[[#This Row],[direct_tax]]+Table1[[#This Row],[indirect_cost]]</f>
        <v>572.29635811699859</v>
      </c>
      <c r="AC55" s="3">
        <v>528</v>
      </c>
      <c r="AD55" s="3">
        <v>792</v>
      </c>
      <c r="AE55" s="3">
        <v>1056</v>
      </c>
      <c r="AF55" s="2">
        <v>580.79999999999995</v>
      </c>
      <c r="AG55" s="3">
        <v>871.2</v>
      </c>
      <c r="AH55" s="2">
        <v>1161.5999999999999</v>
      </c>
      <c r="AI55" s="2">
        <v>44.296358116999698</v>
      </c>
      <c r="AJ55" s="3">
        <v>-219.70364188299999</v>
      </c>
      <c r="AK55" s="3">
        <v>-483.70364188299999</v>
      </c>
      <c r="AL55" s="3">
        <v>-8.5036418830003395</v>
      </c>
      <c r="AM55" s="3">
        <v>-298.90364188299998</v>
      </c>
      <c r="AN55" s="3">
        <v>-589.30364188299995</v>
      </c>
      <c r="AO55" s="3">
        <v>5.26587023607399E-3</v>
      </c>
      <c r="AP55" s="3">
        <v>7.3356280521559604E-3</v>
      </c>
      <c r="AQ55" s="3">
        <v>5.6778555830854795E-4</v>
      </c>
      <c r="AR55" s="3">
        <v>-2.8161356886151501E-3</v>
      </c>
      <c r="AS55" s="3">
        <v>-6.2000569355388597E-3</v>
      </c>
      <c r="AT55" s="3">
        <v>-1.08998691076193E-4</v>
      </c>
      <c r="AU55" s="3">
        <v>-3.8313120626922701E-3</v>
      </c>
      <c r="AV55" s="3">
        <v>-7.5536254343083501E-3</v>
      </c>
    </row>
    <row r="56" spans="1:48" x14ac:dyDescent="0.2">
      <c r="A56" t="s">
        <v>53</v>
      </c>
      <c r="B56">
        <v>2024</v>
      </c>
      <c r="C56">
        <v>80</v>
      </c>
      <c r="D56" t="s">
        <v>50</v>
      </c>
      <c r="E56" s="3">
        <v>125712</v>
      </c>
      <c r="F56" s="3">
        <v>2847</v>
      </c>
      <c r="G56" s="3">
        <v>309</v>
      </c>
      <c r="H56" s="3">
        <v>53</v>
      </c>
      <c r="I56" s="3">
        <v>78016</v>
      </c>
      <c r="J56" s="4">
        <v>1.34116666666666</v>
      </c>
      <c r="K56" s="2">
        <v>1.3398333333333301</v>
      </c>
      <c r="L56" s="2">
        <v>2122.7786752827101</v>
      </c>
      <c r="M56" s="2">
        <v>39.557158850603301</v>
      </c>
      <c r="N56" s="3">
        <v>0.13862989319999999</v>
      </c>
      <c r="O56" s="2">
        <v>42.836636998799897</v>
      </c>
      <c r="P56" s="2">
        <v>1150.29221332877</v>
      </c>
      <c r="Q56" s="3">
        <v>0.17610000000000001</v>
      </c>
      <c r="R56" s="3">
        <v>0.21390000000000001</v>
      </c>
      <c r="S56" s="3">
        <v>0.1525</v>
      </c>
      <c r="T56" s="3">
        <v>4.0950825000000002</v>
      </c>
      <c r="U56" s="2">
        <v>373.82132471728499</v>
      </c>
      <c r="V56" s="3">
        <v>8.4612762781440498</v>
      </c>
      <c r="W56" s="2">
        <v>175.419562532638</v>
      </c>
      <c r="X56" s="2">
        <v>557.70216352806801</v>
      </c>
      <c r="Y56" s="2">
        <v>0.28643255760049102</v>
      </c>
      <c r="Z56" s="2"/>
      <c r="AA56" s="2">
        <f>Table1[[#This Row],[direct_tax]]*Table1[[#This Row],[kappa]]</f>
        <v>159.7440570786718</v>
      </c>
      <c r="AB56" s="2">
        <f>Table1[[#This Row],[direct_tax]]+Table1[[#This Row],[indirect_cost]]</f>
        <v>717.44622060673987</v>
      </c>
      <c r="AC56" s="3">
        <v>600</v>
      </c>
      <c r="AD56" s="3">
        <v>900</v>
      </c>
      <c r="AE56" s="3">
        <v>1200</v>
      </c>
      <c r="AF56" s="3">
        <v>720</v>
      </c>
      <c r="AG56" s="3">
        <v>1080</v>
      </c>
      <c r="AH56" s="3">
        <v>1440</v>
      </c>
      <c r="AI56" s="2">
        <v>117.44622060674</v>
      </c>
      <c r="AJ56" s="3">
        <v>-182.55377939325899</v>
      </c>
      <c r="AK56" s="3">
        <v>-482.55377939325899</v>
      </c>
      <c r="AL56" s="3">
        <v>-2.55377939325956</v>
      </c>
      <c r="AM56" s="3">
        <v>-362.55377939325899</v>
      </c>
      <c r="AN56" s="3">
        <v>-722.55377939325899</v>
      </c>
      <c r="AO56" s="3">
        <v>7.1485613659770797E-3</v>
      </c>
      <c r="AP56" s="3">
        <v>9.1961420811979607E-3</v>
      </c>
      <c r="AQ56" s="3">
        <v>1.5054119745531701E-3</v>
      </c>
      <c r="AR56" s="3">
        <v>-2.33995307876922E-3</v>
      </c>
      <c r="AS56" s="3">
        <v>-6.1853181320916098E-3</v>
      </c>
      <c r="AT56" s="3">
        <v>-3.2734046775783898E-5</v>
      </c>
      <c r="AU56" s="3">
        <v>-4.6471721107626497E-3</v>
      </c>
      <c r="AV56" s="3">
        <v>-9.2616101747495308E-3</v>
      </c>
    </row>
    <row r="57" spans="1:48" x14ac:dyDescent="0.2">
      <c r="A57" t="s">
        <v>53</v>
      </c>
      <c r="B57">
        <v>2025</v>
      </c>
      <c r="C57">
        <v>0</v>
      </c>
      <c r="D57" t="s">
        <v>50</v>
      </c>
      <c r="E57" s="3">
        <v>125712</v>
      </c>
      <c r="F57" s="3">
        <v>2847</v>
      </c>
      <c r="G57" s="3">
        <v>309</v>
      </c>
      <c r="H57" s="3">
        <v>53</v>
      </c>
      <c r="I57" s="3">
        <v>78016</v>
      </c>
      <c r="J57" s="4">
        <v>1.36283333333333</v>
      </c>
      <c r="K57" s="2">
        <v>1.26558333333333</v>
      </c>
      <c r="L57" s="2">
        <v>2089.0302066772601</v>
      </c>
      <c r="M57" s="2">
        <v>41.877921906894002</v>
      </c>
      <c r="N57" s="3">
        <v>0.13862989319999999</v>
      </c>
      <c r="O57" s="2">
        <v>42.836636998799897</v>
      </c>
      <c r="P57" s="2">
        <v>1150.29221332877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/>
      <c r="AA57" s="3">
        <f>Table1[[#This Row],[direct_tax]]*Table1[[#This Row],[kappa]]</f>
        <v>0</v>
      </c>
      <c r="AB57" s="3">
        <f>Table1[[#This Row],[direct_tax]]+Table1[[#This Row],[indirect_cost]]</f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</row>
    <row r="58" spans="1:48" x14ac:dyDescent="0.2">
      <c r="A58" t="s">
        <v>53</v>
      </c>
      <c r="B58">
        <v>2019</v>
      </c>
      <c r="C58">
        <v>20</v>
      </c>
      <c r="D58" t="s">
        <v>51</v>
      </c>
      <c r="E58" s="3">
        <v>119770</v>
      </c>
      <c r="F58" s="3">
        <v>3171</v>
      </c>
      <c r="G58" s="3">
        <v>585</v>
      </c>
      <c r="H58" s="3">
        <v>56</v>
      </c>
      <c r="I58" s="3">
        <v>107985</v>
      </c>
      <c r="J58" s="4">
        <v>1.09033333333333</v>
      </c>
      <c r="K58" s="2">
        <v>1.1459999999999999</v>
      </c>
      <c r="L58" s="2">
        <v>2908.28492815652</v>
      </c>
      <c r="M58" s="2">
        <v>48.8656195462478</v>
      </c>
      <c r="N58" s="3">
        <v>0.13862989319999999</v>
      </c>
      <c r="O58" s="3">
        <v>81.098487521999999</v>
      </c>
      <c r="P58" s="2">
        <v>2177.7376854282602</v>
      </c>
      <c r="Q58" s="3">
        <v>4.4200000000000003E-2</v>
      </c>
      <c r="R58" s="3">
        <v>5.3699999999999998E-2</v>
      </c>
      <c r="S58" s="3">
        <v>3.9100000000000003E-2</v>
      </c>
      <c r="T58" s="2">
        <v>1.0499522999999999</v>
      </c>
      <c r="U58" s="2">
        <v>128.54619382451801</v>
      </c>
      <c r="V58" s="2">
        <v>2.6240837696335002</v>
      </c>
      <c r="W58" s="2">
        <v>85.149543500245201</v>
      </c>
      <c r="X58" s="2">
        <v>216.31982109439701</v>
      </c>
      <c r="Y58" s="2">
        <v>0.71290803929757196</v>
      </c>
      <c r="Z58" s="2"/>
      <c r="AA58" s="2">
        <f>Table1[[#This Row],[direct_tax]]*Table1[[#This Row],[kappa]]</f>
        <v>154.21613951760813</v>
      </c>
      <c r="AB58" s="2">
        <f>Table1[[#This Row],[direct_tax]]+Table1[[#This Row],[indirect_cost]]</f>
        <v>370.53596061200517</v>
      </c>
      <c r="AC58" s="3">
        <v>170</v>
      </c>
      <c r="AD58" s="3">
        <v>255</v>
      </c>
      <c r="AE58" s="3">
        <v>339</v>
      </c>
      <c r="AF58" s="2">
        <v>187</v>
      </c>
      <c r="AG58" s="3">
        <v>280.5</v>
      </c>
      <c r="AH58" s="2">
        <v>372.9</v>
      </c>
      <c r="AI58" s="2">
        <v>200.535960612005</v>
      </c>
      <c r="AJ58" s="2">
        <v>115.535960612005</v>
      </c>
      <c r="AK58" s="2">
        <v>31.535960612005599</v>
      </c>
      <c r="AL58" s="2">
        <v>183.535960612005</v>
      </c>
      <c r="AM58" s="2">
        <v>90.035960612005596</v>
      </c>
      <c r="AN58" s="3">
        <v>-2.36403938799435</v>
      </c>
      <c r="AO58" s="3">
        <v>2.0032395341426702E-3</v>
      </c>
      <c r="AP58" s="3">
        <v>3.4313651026717201E-3</v>
      </c>
      <c r="AQ58" s="3">
        <v>1.8570723768301599E-3</v>
      </c>
      <c r="AR58" s="3">
        <v>1.06992601390939E-3</v>
      </c>
      <c r="AS58" s="3">
        <v>2.9204019643474198E-4</v>
      </c>
      <c r="AT58" s="3">
        <v>1.6996431042460101E-3</v>
      </c>
      <c r="AU58" s="3">
        <v>8.3378210503315896E-4</v>
      </c>
      <c r="AV58" s="3">
        <v>-2.1892294188955399E-5</v>
      </c>
    </row>
    <row r="59" spans="1:48" x14ac:dyDescent="0.2">
      <c r="A59" t="s">
        <v>53</v>
      </c>
      <c r="B59">
        <v>2020</v>
      </c>
      <c r="C59">
        <v>30</v>
      </c>
      <c r="D59" t="s">
        <v>51</v>
      </c>
      <c r="E59" s="3">
        <v>113599</v>
      </c>
      <c r="F59" s="3">
        <v>2921.5</v>
      </c>
      <c r="G59" s="3">
        <v>550.5</v>
      </c>
      <c r="H59" s="3">
        <v>69.5</v>
      </c>
      <c r="I59" s="3">
        <v>104323.5</v>
      </c>
      <c r="J59" s="3">
        <v>0.93674999999999997</v>
      </c>
      <c r="K59" s="2">
        <v>0.95808333333333295</v>
      </c>
      <c r="L59" s="2">
        <v>3118.7616760074702</v>
      </c>
      <c r="M59" s="2">
        <v>72.540662781595103</v>
      </c>
      <c r="N59" s="3">
        <v>0.13862989319999999</v>
      </c>
      <c r="O59" s="3">
        <v>76.3157562066</v>
      </c>
      <c r="P59" s="2">
        <v>2049.3070014158202</v>
      </c>
      <c r="Q59" s="3">
        <v>6.6299999999999998E-2</v>
      </c>
      <c r="R59" s="3">
        <v>8.0500000000000002E-2</v>
      </c>
      <c r="S59" s="3">
        <v>5.8700000000000002E-2</v>
      </c>
      <c r="T59" s="2">
        <v>1.5762711</v>
      </c>
      <c r="U59" s="2">
        <v>206.77389911929501</v>
      </c>
      <c r="V59" s="2">
        <v>5.8395233539184099</v>
      </c>
      <c r="W59" s="2">
        <v>120.294320983109</v>
      </c>
      <c r="X59" s="2">
        <v>332.90774345632298</v>
      </c>
      <c r="Y59" s="2">
        <v>0.64182879234805901</v>
      </c>
      <c r="Z59" s="2"/>
      <c r="AA59" s="2">
        <f>Table1[[#This Row],[direct_tax]]*Table1[[#This Row],[kappa]]</f>
        <v>213.66977494588923</v>
      </c>
      <c r="AB59" s="2">
        <f>Table1[[#This Row],[direct_tax]]+Table1[[#This Row],[indirect_cost]]</f>
        <v>546.57751840221226</v>
      </c>
      <c r="AC59" s="3">
        <v>243</v>
      </c>
      <c r="AD59" s="3">
        <v>364</v>
      </c>
      <c r="AE59" s="3">
        <v>486</v>
      </c>
      <c r="AF59" s="3">
        <v>267.3</v>
      </c>
      <c r="AG59" s="2">
        <v>400.4</v>
      </c>
      <c r="AH59" s="3">
        <v>534.6</v>
      </c>
      <c r="AI59" s="2">
        <v>303.57751840221198</v>
      </c>
      <c r="AJ59" s="2">
        <v>182.57751840221201</v>
      </c>
      <c r="AK59" s="2">
        <v>60.577518402212398</v>
      </c>
      <c r="AL59" s="2">
        <v>279.27751840221202</v>
      </c>
      <c r="AM59" s="2">
        <v>146.177518402212</v>
      </c>
      <c r="AN59" s="2">
        <v>11.9775184022124</v>
      </c>
      <c r="AO59" s="3">
        <v>3.1911098022624098E-3</v>
      </c>
      <c r="AP59" s="3">
        <v>5.23925595289855E-3</v>
      </c>
      <c r="AQ59" s="3">
        <v>2.9099629364640902E-3</v>
      </c>
      <c r="AR59" s="3">
        <v>1.7501092122312999E-3</v>
      </c>
      <c r="AS59" s="3">
        <v>5.8066992002964299E-4</v>
      </c>
      <c r="AT59" s="3">
        <v>2.6770336348206501E-3</v>
      </c>
      <c r="AU59" s="3">
        <v>1.4011945381645699E-3</v>
      </c>
      <c r="AV59" s="3">
        <v>1.14811316742751E-4</v>
      </c>
    </row>
    <row r="60" spans="1:48" x14ac:dyDescent="0.2">
      <c r="A60" t="s">
        <v>53</v>
      </c>
      <c r="B60">
        <v>2021</v>
      </c>
      <c r="C60">
        <v>40</v>
      </c>
      <c r="D60" t="s">
        <v>51</v>
      </c>
      <c r="E60" s="3">
        <v>122750</v>
      </c>
      <c r="F60" s="3">
        <v>2672</v>
      </c>
      <c r="G60" s="3">
        <v>516</v>
      </c>
      <c r="H60" s="3">
        <v>83</v>
      </c>
      <c r="I60" s="3">
        <v>100662</v>
      </c>
      <c r="J60" s="4">
        <v>1.25941666666666</v>
      </c>
      <c r="K60" s="2">
        <v>1.1819166666666601</v>
      </c>
      <c r="L60" s="2">
        <v>2121.6171507973199</v>
      </c>
      <c r="M60" s="2">
        <v>70.224917154339593</v>
      </c>
      <c r="N60" s="3">
        <v>0.13862989319999999</v>
      </c>
      <c r="O60" s="3">
        <v>71.5330248912</v>
      </c>
      <c r="P60" s="2">
        <v>1920.87631740339</v>
      </c>
      <c r="Q60" s="3">
        <v>8.8400000000000006E-2</v>
      </c>
      <c r="R60" s="3">
        <v>0.10730000000000001</v>
      </c>
      <c r="S60" s="3">
        <v>7.8299999999999995E-2</v>
      </c>
      <c r="T60" s="3">
        <v>2.1025898999999999</v>
      </c>
      <c r="U60" s="2">
        <v>187.550956130483</v>
      </c>
      <c r="V60" s="2">
        <v>7.5351336106606404</v>
      </c>
      <c r="W60" s="2">
        <v>150.40461565268501</v>
      </c>
      <c r="X60" s="2">
        <v>345.49070539383001</v>
      </c>
      <c r="Y60" s="2">
        <v>0.57074954539854506</v>
      </c>
      <c r="Z60" s="2"/>
      <c r="AA60" s="2">
        <f>Table1[[#This Row],[direct_tax]]*Table1[[#This Row],[kappa]]</f>
        <v>197.18866304295113</v>
      </c>
      <c r="AB60" s="2">
        <f>Table1[[#This Row],[direct_tax]]+Table1[[#This Row],[indirect_cost]]</f>
        <v>542.67936843678115</v>
      </c>
      <c r="AC60" s="3">
        <v>360</v>
      </c>
      <c r="AD60" s="3">
        <v>540</v>
      </c>
      <c r="AE60" s="3">
        <v>720</v>
      </c>
      <c r="AF60" s="2">
        <v>396</v>
      </c>
      <c r="AG60" s="3">
        <v>594</v>
      </c>
      <c r="AH60" s="2">
        <v>792</v>
      </c>
      <c r="AI60" s="2">
        <v>182.679368436781</v>
      </c>
      <c r="AJ60" s="2">
        <v>2.6793684367814801</v>
      </c>
      <c r="AK60" s="3">
        <v>-177.320631563218</v>
      </c>
      <c r="AL60" s="2">
        <v>146.679368436781</v>
      </c>
      <c r="AM60" s="3">
        <v>-51.320631563218498</v>
      </c>
      <c r="AN60" s="3">
        <v>-249.320631563218</v>
      </c>
      <c r="AO60" s="3">
        <v>3.4321859827326101E-3</v>
      </c>
      <c r="AP60" s="3">
        <v>5.3911045721004996E-3</v>
      </c>
      <c r="AQ60" s="3">
        <v>1.81477984181499E-3</v>
      </c>
      <c r="AR60" s="6">
        <v>2.66174766722446E-5</v>
      </c>
      <c r="AS60" s="3">
        <v>-1.7615448884705099E-3</v>
      </c>
      <c r="AT60" s="3">
        <v>1.45714736878644E-3</v>
      </c>
      <c r="AU60" s="3">
        <v>-5.0983123287058098E-4</v>
      </c>
      <c r="AV60" s="3">
        <v>-2.4768098345276102E-3</v>
      </c>
    </row>
    <row r="61" spans="1:48" x14ac:dyDescent="0.2">
      <c r="A61" t="s">
        <v>53</v>
      </c>
      <c r="B61">
        <v>2022</v>
      </c>
      <c r="C61">
        <v>50</v>
      </c>
      <c r="D61" t="s">
        <v>51</v>
      </c>
      <c r="E61" s="3">
        <v>117483</v>
      </c>
      <c r="F61" s="3">
        <v>3323.5</v>
      </c>
      <c r="G61" s="3">
        <v>527</v>
      </c>
      <c r="H61" s="3">
        <v>72.5</v>
      </c>
      <c r="I61" s="3">
        <v>104959.5</v>
      </c>
      <c r="J61" s="4">
        <v>1.70891666666666</v>
      </c>
      <c r="K61" s="2">
        <v>1.7853333333333301</v>
      </c>
      <c r="L61" s="2">
        <v>1944.79933681182</v>
      </c>
      <c r="M61" s="2">
        <v>40.608663181478697</v>
      </c>
      <c r="N61" s="3">
        <v>0.13862989319999999</v>
      </c>
      <c r="O61" s="3">
        <v>73.057953716399993</v>
      </c>
      <c r="P61" s="2">
        <v>1961.8252311464801</v>
      </c>
      <c r="Q61" s="3">
        <v>0.1105</v>
      </c>
      <c r="R61" s="3">
        <v>0.1341</v>
      </c>
      <c r="S61" s="3">
        <v>9.7900000000000001E-2</v>
      </c>
      <c r="T61" s="3">
        <v>2.6289087000000002</v>
      </c>
      <c r="U61" s="2">
        <v>214.90032671770601</v>
      </c>
      <c r="V61" s="2">
        <v>5.4456217326362903</v>
      </c>
      <c r="W61" s="2">
        <v>192.06269012924099</v>
      </c>
      <c r="X61" s="2">
        <v>412.408638579583</v>
      </c>
      <c r="Y61" s="2">
        <v>0.49967029844903199</v>
      </c>
      <c r="Z61" s="2"/>
      <c r="AA61" s="2">
        <f>Table1[[#This Row],[direct_tax]]*Table1[[#This Row],[kappa]]</f>
        <v>206.0683475220192</v>
      </c>
      <c r="AB61" s="2">
        <f>Table1[[#This Row],[direct_tax]]+Table1[[#This Row],[indirect_cost]]</f>
        <v>618.47698610160217</v>
      </c>
      <c r="AC61" s="3">
        <v>416</v>
      </c>
      <c r="AD61" s="3">
        <v>624</v>
      </c>
      <c r="AE61" s="3">
        <v>832</v>
      </c>
      <c r="AF61" s="3">
        <v>457.6</v>
      </c>
      <c r="AG61" s="2">
        <v>686.4</v>
      </c>
      <c r="AH61" s="3">
        <v>915.2</v>
      </c>
      <c r="AI61" s="2">
        <v>202.47698610160299</v>
      </c>
      <c r="AJ61" s="3">
        <v>-5.52301389839658</v>
      </c>
      <c r="AK61" s="3">
        <v>-213.52301389839599</v>
      </c>
      <c r="AL61" s="2">
        <v>160.87698610160299</v>
      </c>
      <c r="AM61" s="3">
        <v>-67.923013898396604</v>
      </c>
      <c r="AN61" s="3">
        <v>-296.723013898396</v>
      </c>
      <c r="AO61" s="3">
        <v>3.9292168748858696E-3</v>
      </c>
      <c r="AP61" s="3">
        <v>5.8925298434310703E-3</v>
      </c>
      <c r="AQ61" s="3">
        <v>1.92909632859915E-3</v>
      </c>
      <c r="AR61" s="3">
        <v>-5.2620428816796797E-5</v>
      </c>
      <c r="AS61" s="3">
        <v>-2.0343371862327499E-3</v>
      </c>
      <c r="AT61" s="3">
        <v>1.53275297711596E-3</v>
      </c>
      <c r="AU61" s="3">
        <v>-6.4713545604158402E-4</v>
      </c>
      <c r="AV61" s="3">
        <v>-2.8270238891991298E-3</v>
      </c>
    </row>
    <row r="62" spans="1:48" x14ac:dyDescent="0.2">
      <c r="A62" t="s">
        <v>53</v>
      </c>
      <c r="B62">
        <v>2023</v>
      </c>
      <c r="C62">
        <v>65</v>
      </c>
      <c r="D62" t="s">
        <v>51</v>
      </c>
      <c r="E62" s="3">
        <v>127131</v>
      </c>
      <c r="F62" s="3">
        <v>3975</v>
      </c>
      <c r="G62" s="3">
        <v>538</v>
      </c>
      <c r="H62" s="3">
        <v>62</v>
      </c>
      <c r="I62" s="3">
        <v>109257</v>
      </c>
      <c r="J62" s="3">
        <v>1.5527500000000001</v>
      </c>
      <c r="K62" s="2">
        <v>1.5549166666666601</v>
      </c>
      <c r="L62" s="2">
        <v>2559.9742392529301</v>
      </c>
      <c r="M62" s="2">
        <v>39.873519481215403</v>
      </c>
      <c r="N62" s="3">
        <v>0.13862989319999999</v>
      </c>
      <c r="O62" s="3">
        <v>74.5828825416</v>
      </c>
      <c r="P62" s="2">
        <v>2002.7741448895799</v>
      </c>
      <c r="Q62" s="3">
        <v>0.1431</v>
      </c>
      <c r="R62" s="3">
        <v>0.17380000000000001</v>
      </c>
      <c r="S62" s="3">
        <v>0.1239</v>
      </c>
      <c r="T62" s="3">
        <v>3.3270867000000002</v>
      </c>
      <c r="U62" s="2">
        <v>366.33231363709501</v>
      </c>
      <c r="V62" s="2">
        <v>6.9300176858352502</v>
      </c>
      <c r="W62" s="2">
        <v>248.14371655181901</v>
      </c>
      <c r="X62" s="2">
        <v>621.40604787475002</v>
      </c>
      <c r="Y62" s="2">
        <v>0.39305142802476101</v>
      </c>
      <c r="Z62" s="2"/>
      <c r="AA62" s="2">
        <f>Table1[[#This Row],[direct_tax]]*Table1[[#This Row],[kappa]]</f>
        <v>244.24453450039348</v>
      </c>
      <c r="AB62" s="2">
        <f>Table1[[#This Row],[direct_tax]]+Table1[[#This Row],[indirect_cost]]</f>
        <v>865.65058237514347</v>
      </c>
      <c r="AC62" s="3">
        <v>528</v>
      </c>
      <c r="AD62" s="3">
        <v>792</v>
      </c>
      <c r="AE62" s="3">
        <v>1056</v>
      </c>
      <c r="AF62" s="2">
        <v>580.79999999999995</v>
      </c>
      <c r="AG62" s="3">
        <v>871.2</v>
      </c>
      <c r="AH62" s="2">
        <v>1161.5999999999999</v>
      </c>
      <c r="AI62" s="2">
        <v>337.65058237514398</v>
      </c>
      <c r="AJ62" s="2">
        <v>73.650582375144296</v>
      </c>
      <c r="AK62" s="3">
        <v>-190.34941762485499</v>
      </c>
      <c r="AL62" s="2">
        <v>284.85058237514397</v>
      </c>
      <c r="AM62" s="3">
        <v>-5.5494176248556597</v>
      </c>
      <c r="AN62" s="3">
        <v>-295.94941762485502</v>
      </c>
      <c r="AO62" s="3">
        <v>5.6875627911689899E-3</v>
      </c>
      <c r="AP62" s="3">
        <v>7.9230674682184594E-3</v>
      </c>
      <c r="AQ62" s="3">
        <v>3.0904251661234001E-3</v>
      </c>
      <c r="AR62" s="3">
        <v>6.7410401507587005E-4</v>
      </c>
      <c r="AS62" s="3">
        <v>-1.7422171359716501E-3</v>
      </c>
      <c r="AT62" s="3">
        <v>2.6071609359138901E-3</v>
      </c>
      <c r="AU62" s="3">
        <v>-5.0792330238388899E-5</v>
      </c>
      <c r="AV62" s="3">
        <v>-2.7087455963906702E-3</v>
      </c>
    </row>
    <row r="63" spans="1:48" x14ac:dyDescent="0.2">
      <c r="A63" t="s">
        <v>53</v>
      </c>
      <c r="B63">
        <v>2024</v>
      </c>
      <c r="C63">
        <v>80</v>
      </c>
      <c r="D63" t="s">
        <v>51</v>
      </c>
      <c r="E63" s="3">
        <v>124212</v>
      </c>
      <c r="F63" s="3">
        <v>3975</v>
      </c>
      <c r="G63" s="3">
        <v>538</v>
      </c>
      <c r="H63" s="3">
        <v>62</v>
      </c>
      <c r="I63" s="3">
        <v>109257</v>
      </c>
      <c r="J63" s="4">
        <v>1.34116666666666</v>
      </c>
      <c r="K63" s="2">
        <v>1.3398333333333301</v>
      </c>
      <c r="L63" s="2">
        <v>2963.83745495215</v>
      </c>
      <c r="M63" s="3">
        <v>46.274412240328402</v>
      </c>
      <c r="N63" s="3">
        <v>0.13862989319999999</v>
      </c>
      <c r="O63" s="3">
        <v>74.5828825416</v>
      </c>
      <c r="P63" s="2">
        <v>2002.7741448895799</v>
      </c>
      <c r="Q63" s="3">
        <v>0.17610000000000001</v>
      </c>
      <c r="R63" s="3">
        <v>0.21390000000000001</v>
      </c>
      <c r="S63" s="3">
        <v>0.1525</v>
      </c>
      <c r="T63" s="3">
        <v>4.0950825000000002</v>
      </c>
      <c r="U63" s="2">
        <v>521.93177581707403</v>
      </c>
      <c r="V63" s="2">
        <v>9.8980967782062397</v>
      </c>
      <c r="W63" s="2">
        <v>305.42305709566102</v>
      </c>
      <c r="X63" s="2">
        <v>837.25292969094198</v>
      </c>
      <c r="Y63" s="2">
        <v>0.28643255760049102</v>
      </c>
      <c r="Z63" s="2"/>
      <c r="AA63" s="2">
        <f>Table1[[#This Row],[direct_tax]]*Table1[[#This Row],[kappa]]</f>
        <v>239.8164980098806</v>
      </c>
      <c r="AB63" s="2">
        <f>Table1[[#This Row],[direct_tax]]+Table1[[#This Row],[indirect_cost]]</f>
        <v>1077.0694277008226</v>
      </c>
      <c r="AC63" s="3">
        <v>600</v>
      </c>
      <c r="AD63" s="3">
        <v>900</v>
      </c>
      <c r="AE63" s="3">
        <v>1200</v>
      </c>
      <c r="AF63" s="3">
        <v>720</v>
      </c>
      <c r="AG63" s="3">
        <v>1080</v>
      </c>
      <c r="AH63" s="3">
        <v>1440</v>
      </c>
      <c r="AI63" s="2">
        <v>477.06942770082298</v>
      </c>
      <c r="AJ63" s="2">
        <v>177.06942770082301</v>
      </c>
      <c r="AK63" s="3">
        <v>-122.93057229917601</v>
      </c>
      <c r="AL63" s="2">
        <v>357.06942770082298</v>
      </c>
      <c r="AM63" s="3">
        <v>-2.9305722991762102</v>
      </c>
      <c r="AN63" s="3">
        <v>-362.93057229917599</v>
      </c>
      <c r="AO63" s="3">
        <v>7.6631513741997502E-3</v>
      </c>
      <c r="AP63" s="3">
        <v>9.8581274215915095E-3</v>
      </c>
      <c r="AQ63" s="3">
        <v>4.3664884419380304E-3</v>
      </c>
      <c r="AR63" s="3">
        <v>1.62066895211129E-3</v>
      </c>
      <c r="AS63" s="3">
        <v>-1.12515053771544E-3</v>
      </c>
      <c r="AT63" s="3">
        <v>3.2681606460073301E-3</v>
      </c>
      <c r="AU63" s="3">
        <v>-2.6822741784748001E-5</v>
      </c>
      <c r="AV63" s="3">
        <v>-3.3218061295768298E-3</v>
      </c>
    </row>
    <row r="64" spans="1:48" x14ac:dyDescent="0.2">
      <c r="A64" t="s">
        <v>53</v>
      </c>
      <c r="B64">
        <v>2025</v>
      </c>
      <c r="C64">
        <v>0</v>
      </c>
      <c r="D64" t="s">
        <v>51</v>
      </c>
      <c r="E64" s="3">
        <v>124212</v>
      </c>
      <c r="F64" s="3">
        <v>3975</v>
      </c>
      <c r="G64" s="3">
        <v>538</v>
      </c>
      <c r="H64" s="3">
        <v>62</v>
      </c>
      <c r="I64" s="3">
        <v>109257</v>
      </c>
      <c r="J64" s="4">
        <v>1.36283333333333</v>
      </c>
      <c r="K64" s="2">
        <v>1.26558333333333</v>
      </c>
      <c r="L64" s="2">
        <v>2916.7176225999701</v>
      </c>
      <c r="M64" s="2">
        <v>48.9892671363666</v>
      </c>
      <c r="N64" s="3">
        <v>0.13862989319999999</v>
      </c>
      <c r="O64" s="3">
        <v>74.5828825416</v>
      </c>
      <c r="P64" s="2">
        <v>2002.7741448895799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/>
      <c r="AA64" s="3">
        <f>Table1[[#This Row],[direct_tax]]*Table1[[#This Row],[kappa]]</f>
        <v>0</v>
      </c>
      <c r="AB64" s="3">
        <f>Table1[[#This Row],[direct_tax]]+Table1[[#This Row],[indirect_cost]]</f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</row>
    <row r="65" spans="1:48" x14ac:dyDescent="0.2">
      <c r="A65" t="s">
        <v>53</v>
      </c>
      <c r="B65">
        <v>2019</v>
      </c>
      <c r="C65">
        <v>20</v>
      </c>
      <c r="D65" t="s">
        <v>52</v>
      </c>
      <c r="E65" s="3">
        <v>98465</v>
      </c>
      <c r="F65" s="3">
        <v>4314</v>
      </c>
      <c r="G65" s="3">
        <v>781</v>
      </c>
      <c r="H65" s="3">
        <v>64</v>
      </c>
      <c r="I65" s="3">
        <v>175440</v>
      </c>
      <c r="J65" s="4">
        <v>1.09033333333333</v>
      </c>
      <c r="K65" s="2">
        <v>1.1459999999999999</v>
      </c>
      <c r="L65" s="2">
        <v>3956.5881993274202</v>
      </c>
      <c r="M65" s="2">
        <v>55.8464223385689</v>
      </c>
      <c r="N65" s="3">
        <v>0.13862989319999999</v>
      </c>
      <c r="O65" s="2">
        <v>108.26994658919899</v>
      </c>
      <c r="P65" s="2">
        <v>2907.3728757597801</v>
      </c>
      <c r="Q65" s="3">
        <v>4.4200000000000003E-2</v>
      </c>
      <c r="R65" s="3">
        <v>5.3699999999999998E-2</v>
      </c>
      <c r="S65" s="3">
        <v>3.9100000000000003E-2</v>
      </c>
      <c r="T65" s="2">
        <v>1.0499522999999999</v>
      </c>
      <c r="U65" s="2">
        <v>174.88119841027199</v>
      </c>
      <c r="V65" s="2">
        <v>2.9989528795811502</v>
      </c>
      <c r="W65" s="2">
        <v>113.678279442207</v>
      </c>
      <c r="X65" s="2">
        <v>291.55843073206</v>
      </c>
      <c r="Y65" s="2">
        <v>0.71290803929757196</v>
      </c>
      <c r="Z65" s="2"/>
      <c r="AA65" s="2">
        <f>Table1[[#This Row],[direct_tax]]*Table1[[#This Row],[kappa]]</f>
        <v>207.85434919386984</v>
      </c>
      <c r="AB65" s="2">
        <f>Table1[[#This Row],[direct_tax]]+Table1[[#This Row],[indirect_cost]]</f>
        <v>499.41277992592984</v>
      </c>
      <c r="AC65" s="3">
        <v>170</v>
      </c>
      <c r="AD65" s="3">
        <v>255</v>
      </c>
      <c r="AE65" s="3">
        <v>339</v>
      </c>
      <c r="AF65" s="2">
        <v>187</v>
      </c>
      <c r="AG65" s="3">
        <v>280.5</v>
      </c>
      <c r="AH65" s="2">
        <v>372.9</v>
      </c>
      <c r="AI65" s="2">
        <v>329.41277992593098</v>
      </c>
      <c r="AJ65" s="2">
        <v>244.41277992593101</v>
      </c>
      <c r="AK65" s="2">
        <v>160.41277992593101</v>
      </c>
      <c r="AL65" s="2">
        <v>312.41277992593098</v>
      </c>
      <c r="AM65" s="2">
        <v>218.91277992593101</v>
      </c>
      <c r="AN65" s="2">
        <v>126.512779925931</v>
      </c>
      <c r="AO65" s="3">
        <v>1.6618697602146599E-3</v>
      </c>
      <c r="AP65" s="3">
        <v>2.8466300725372299E-3</v>
      </c>
      <c r="AQ65" s="3">
        <v>1.87763782447521E-3</v>
      </c>
      <c r="AR65" s="3">
        <v>1.3931417004441999E-3</v>
      </c>
      <c r="AS65" s="3">
        <v>9.1434553081356303E-4</v>
      </c>
      <c r="AT65" s="3">
        <v>1.78073859966901E-3</v>
      </c>
      <c r="AU65" s="3">
        <v>1.2477928632349E-3</v>
      </c>
      <c r="AV65" s="3">
        <v>7.2111707664119704E-4</v>
      </c>
    </row>
    <row r="66" spans="1:48" x14ac:dyDescent="0.2">
      <c r="A66" t="s">
        <v>53</v>
      </c>
      <c r="B66">
        <v>2020</v>
      </c>
      <c r="C66">
        <v>30</v>
      </c>
      <c r="D66" t="s">
        <v>52</v>
      </c>
      <c r="E66" s="3">
        <v>100213</v>
      </c>
      <c r="F66" s="3">
        <v>4047.5</v>
      </c>
      <c r="G66" s="3">
        <v>783.5</v>
      </c>
      <c r="H66" s="3">
        <v>78.5</v>
      </c>
      <c r="I66" s="3">
        <v>169767.5</v>
      </c>
      <c r="J66" s="3">
        <v>0.93674999999999997</v>
      </c>
      <c r="K66" s="2">
        <v>0.95808333333333295</v>
      </c>
      <c r="L66" s="2">
        <v>4320.7899653055701</v>
      </c>
      <c r="M66" s="2">
        <v>81.934417674175805</v>
      </c>
      <c r="N66" s="3">
        <v>0.13862989319999999</v>
      </c>
      <c r="O66" s="3">
        <v>108.6165213222</v>
      </c>
      <c r="P66" s="2">
        <v>2916.6794470650302</v>
      </c>
      <c r="Q66" s="3">
        <v>6.6299999999999998E-2</v>
      </c>
      <c r="R66" s="3">
        <v>8.0500000000000002E-2</v>
      </c>
      <c r="S66" s="3">
        <v>5.8700000000000002E-2</v>
      </c>
      <c r="T66" s="2">
        <v>1.5762711</v>
      </c>
      <c r="U66" s="2">
        <v>286.46837469975901</v>
      </c>
      <c r="V66" s="2">
        <v>6.5957206227711502</v>
      </c>
      <c r="W66" s="2">
        <v>171.209083542717</v>
      </c>
      <c r="X66" s="2">
        <v>464.27317886524798</v>
      </c>
      <c r="Y66" s="2">
        <v>0.64182879234805901</v>
      </c>
      <c r="Z66" s="2"/>
      <c r="AA66" s="3">
        <f>Table1[[#This Row],[direct_tax]]*Table1[[#This Row],[kappa]]</f>
        <v>297.98389371067651</v>
      </c>
      <c r="AB66" s="2">
        <f>Table1[[#This Row],[direct_tax]]+Table1[[#This Row],[indirect_cost]]</f>
        <v>762.25707257592444</v>
      </c>
      <c r="AC66" s="3">
        <v>243</v>
      </c>
      <c r="AD66" s="3">
        <v>364</v>
      </c>
      <c r="AE66" s="3">
        <v>486</v>
      </c>
      <c r="AF66" s="3">
        <v>267.3</v>
      </c>
      <c r="AG66" s="2">
        <v>400.4</v>
      </c>
      <c r="AH66" s="3">
        <v>534.6</v>
      </c>
      <c r="AI66" s="2">
        <v>519.25707257592501</v>
      </c>
      <c r="AJ66" s="2">
        <v>398.25707257592501</v>
      </c>
      <c r="AK66" s="2">
        <v>276.25707257592501</v>
      </c>
      <c r="AL66" s="2">
        <v>494.957072575925</v>
      </c>
      <c r="AM66" s="2">
        <v>361.85707257592497</v>
      </c>
      <c r="AN66" s="2">
        <v>227.65707257592501</v>
      </c>
      <c r="AO66" s="3">
        <v>2.7347588841518402E-3</v>
      </c>
      <c r="AP66" s="3">
        <v>4.4900058761301502E-3</v>
      </c>
      <c r="AQ66" s="3">
        <v>3.0586365033114398E-3</v>
      </c>
      <c r="AR66" s="3">
        <v>2.34589702137291E-3</v>
      </c>
      <c r="AS66" s="3">
        <v>1.6272671304927301E-3</v>
      </c>
      <c r="AT66" s="3">
        <v>2.9154995660295698E-3</v>
      </c>
      <c r="AU66" s="3">
        <v>2.1314861358971799E-3</v>
      </c>
      <c r="AV66" s="3">
        <v>1.34099325592899E-3</v>
      </c>
    </row>
    <row r="67" spans="1:48" x14ac:dyDescent="0.2">
      <c r="A67" t="s">
        <v>53</v>
      </c>
      <c r="B67">
        <v>2021</v>
      </c>
      <c r="C67">
        <v>40</v>
      </c>
      <c r="D67" t="s">
        <v>52</v>
      </c>
      <c r="E67" s="3">
        <v>89909</v>
      </c>
      <c r="F67" s="3">
        <v>3781</v>
      </c>
      <c r="G67" s="3">
        <v>786</v>
      </c>
      <c r="H67" s="3">
        <v>93</v>
      </c>
      <c r="I67" s="3">
        <v>164095</v>
      </c>
      <c r="J67" s="4">
        <v>1.25941666666666</v>
      </c>
      <c r="K67" s="2">
        <v>1.1819166666666601</v>
      </c>
      <c r="L67" s="2">
        <v>3002.1835505855802</v>
      </c>
      <c r="M67" s="2">
        <v>78.685750546428807</v>
      </c>
      <c r="N67" s="3">
        <v>0.13862989319999999</v>
      </c>
      <c r="O67" s="3">
        <v>108.9630960552</v>
      </c>
      <c r="P67" s="2">
        <v>2925.9860183702799</v>
      </c>
      <c r="Q67" s="3">
        <v>8.8400000000000006E-2</v>
      </c>
      <c r="R67" s="3">
        <v>0.10730000000000001</v>
      </c>
      <c r="S67" s="3">
        <v>7.8299999999999995E-2</v>
      </c>
      <c r="T67" s="3">
        <v>2.1025898999999999</v>
      </c>
      <c r="U67" s="2">
        <v>265.39302587176599</v>
      </c>
      <c r="V67" s="2">
        <v>8.4429810336318099</v>
      </c>
      <c r="W67" s="2">
        <v>229.104705238393</v>
      </c>
      <c r="X67" s="2">
        <v>502.94071214379102</v>
      </c>
      <c r="Y67" s="2">
        <v>0.57074954539854506</v>
      </c>
      <c r="Z67" s="2"/>
      <c r="AA67" s="2">
        <f>Table1[[#This Row],[direct_tax]]*Table1[[#This Row],[kappa]]</f>
        <v>287.05318281848923</v>
      </c>
      <c r="AB67" s="2">
        <f>Table1[[#This Row],[direct_tax]]+Table1[[#This Row],[indirect_cost]]</f>
        <v>789.99389496228025</v>
      </c>
      <c r="AC67" s="3">
        <v>360</v>
      </c>
      <c r="AD67" s="3">
        <v>540</v>
      </c>
      <c r="AE67" s="3">
        <v>720</v>
      </c>
      <c r="AF67" s="2">
        <v>396</v>
      </c>
      <c r="AG67" s="3">
        <v>594</v>
      </c>
      <c r="AH67" s="2">
        <v>792</v>
      </c>
      <c r="AI67" s="2">
        <v>429.99389496228002</v>
      </c>
      <c r="AJ67" s="2">
        <v>249.99389496228</v>
      </c>
      <c r="AK67" s="2">
        <v>69.993894962280905</v>
      </c>
      <c r="AL67" s="2">
        <v>393.99389496228002</v>
      </c>
      <c r="AM67" s="2">
        <v>195.99389496228</v>
      </c>
      <c r="AN67" s="3">
        <v>-2.00610503771918</v>
      </c>
      <c r="AO67" s="3">
        <v>3.0649362390309902E-3</v>
      </c>
      <c r="AP67" s="3">
        <v>4.8142472041334599E-3</v>
      </c>
      <c r="AQ67" s="3">
        <v>2.6203960813082701E-3</v>
      </c>
      <c r="AR67" s="3">
        <v>1.52347051989567E-3</v>
      </c>
      <c r="AS67" s="3">
        <v>4.2654495848307898E-4</v>
      </c>
      <c r="AT67" s="3">
        <v>2.4010109690257501E-3</v>
      </c>
      <c r="AU67" s="3">
        <v>1.19439285147189E-3</v>
      </c>
      <c r="AV67" s="3">
        <v>-1.2225266081959701E-5</v>
      </c>
    </row>
    <row r="68" spans="1:48" x14ac:dyDescent="0.2">
      <c r="A68" t="s">
        <v>53</v>
      </c>
      <c r="B68">
        <v>2022</v>
      </c>
      <c r="C68">
        <v>50</v>
      </c>
      <c r="D68" t="s">
        <v>52</v>
      </c>
      <c r="E68" s="3">
        <v>105572</v>
      </c>
      <c r="F68" s="3">
        <v>4325.5</v>
      </c>
      <c r="G68" s="3">
        <v>809</v>
      </c>
      <c r="H68" s="3">
        <v>99</v>
      </c>
      <c r="I68" s="3">
        <v>173770.5</v>
      </c>
      <c r="J68" s="4">
        <v>1.70891666666666</v>
      </c>
      <c r="K68" s="2">
        <v>1.7853333333333301</v>
      </c>
      <c r="L68" s="2">
        <v>2531.1357097576401</v>
      </c>
      <c r="M68" s="2">
        <v>55.451829723674301</v>
      </c>
      <c r="N68" s="3">
        <v>0.13862989319999999</v>
      </c>
      <c r="O68" s="2">
        <v>112.15158359879899</v>
      </c>
      <c r="P68" s="2">
        <v>3011.6064743785701</v>
      </c>
      <c r="Q68" s="3">
        <v>0.1105</v>
      </c>
      <c r="R68" s="3">
        <v>0.1341</v>
      </c>
      <c r="S68" s="3">
        <v>9.7900000000000001E-2</v>
      </c>
      <c r="T68" s="3">
        <v>2.6289087000000002</v>
      </c>
      <c r="U68" s="2">
        <v>279.69049592821898</v>
      </c>
      <c r="V68" s="2">
        <v>7.4360903659447297</v>
      </c>
      <c r="W68" s="2">
        <v>294.83627384166198</v>
      </c>
      <c r="X68" s="3">
        <v>581.96286013582699</v>
      </c>
      <c r="Y68" s="2">
        <v>0.49967029844903199</v>
      </c>
      <c r="Z68" s="2"/>
      <c r="AA68" s="2">
        <f>Table1[[#This Row],[direct_tax]]*Table1[[#This Row],[kappa]]</f>
        <v>290.78955601032095</v>
      </c>
      <c r="AB68" s="2">
        <f>Table1[[#This Row],[direct_tax]]+Table1[[#This Row],[indirect_cost]]</f>
        <v>872.75241614614788</v>
      </c>
      <c r="AC68" s="3">
        <v>416</v>
      </c>
      <c r="AD68" s="3">
        <v>624</v>
      </c>
      <c r="AE68" s="3">
        <v>832</v>
      </c>
      <c r="AF68" s="3">
        <v>457.6</v>
      </c>
      <c r="AG68" s="2">
        <v>686.4</v>
      </c>
      <c r="AH68" s="3">
        <v>915.2</v>
      </c>
      <c r="AI68" s="2">
        <v>456.75241614614703</v>
      </c>
      <c r="AJ68" s="2">
        <v>248.752416146147</v>
      </c>
      <c r="AK68" s="2">
        <v>40.752416146147802</v>
      </c>
      <c r="AL68" s="2">
        <v>415.152416146147</v>
      </c>
      <c r="AM68" s="2">
        <v>186.35241614614699</v>
      </c>
      <c r="AN68" s="3">
        <v>-42.447583853852102</v>
      </c>
      <c r="AO68" s="3">
        <v>3.34903139563865E-3</v>
      </c>
      <c r="AP68" s="3">
        <v>5.0224429126126003E-3</v>
      </c>
      <c r="AQ68" s="3">
        <v>2.6284807613843999E-3</v>
      </c>
      <c r="AR68" s="3">
        <v>1.4314996857702901E-3</v>
      </c>
      <c r="AS68" s="3">
        <v>2.34518610156199E-4</v>
      </c>
      <c r="AT68" s="3">
        <v>2.3890845462615799E-3</v>
      </c>
      <c r="AU68" s="3">
        <v>1.0724053630860599E-3</v>
      </c>
      <c r="AV68" s="3">
        <v>-2.4427382008944003E-4</v>
      </c>
    </row>
    <row r="69" spans="1:48" x14ac:dyDescent="0.2">
      <c r="A69" t="s">
        <v>53</v>
      </c>
      <c r="B69">
        <v>2023</v>
      </c>
      <c r="C69">
        <v>65</v>
      </c>
      <c r="D69" t="s">
        <v>52</v>
      </c>
      <c r="E69" s="3">
        <v>111035</v>
      </c>
      <c r="F69" s="3">
        <v>4870</v>
      </c>
      <c r="G69" s="3">
        <v>832</v>
      </c>
      <c r="H69" s="3">
        <v>105</v>
      </c>
      <c r="I69" s="3">
        <v>183446</v>
      </c>
      <c r="J69" s="3">
        <v>1.5527500000000001</v>
      </c>
      <c r="K69" s="2">
        <v>1.5549166666666601</v>
      </c>
      <c r="L69" s="2">
        <v>3136.37095475768</v>
      </c>
      <c r="M69" s="2">
        <v>67.527734605284294</v>
      </c>
      <c r="N69" s="3">
        <v>0.13862989319999999</v>
      </c>
      <c r="O69" s="2">
        <v>115.340071142399</v>
      </c>
      <c r="P69" s="2">
        <v>3097.2269303868602</v>
      </c>
      <c r="Q69" s="3">
        <v>0.1431</v>
      </c>
      <c r="R69" s="3">
        <v>0.17380000000000001</v>
      </c>
      <c r="S69" s="3">
        <v>0.1239</v>
      </c>
      <c r="T69" s="3">
        <v>3.3270867000000002</v>
      </c>
      <c r="U69" s="2">
        <v>448.81468362582501</v>
      </c>
      <c r="V69" s="2">
        <v>11.7363202743984</v>
      </c>
      <c r="W69" s="2">
        <v>383.74641667493199</v>
      </c>
      <c r="X69" s="2">
        <v>844.29742057515602</v>
      </c>
      <c r="Y69" s="2">
        <v>0.39305142802476101</v>
      </c>
      <c r="Z69" s="2"/>
      <c r="AA69" s="2">
        <f>Table1[[#This Row],[direct_tax]]*Table1[[#This Row],[kappa]]</f>
        <v>331.85230683468728</v>
      </c>
      <c r="AB69" s="2">
        <f>Table1[[#This Row],[direct_tax]]+Table1[[#This Row],[indirect_cost]]</f>
        <v>1176.1497274098433</v>
      </c>
      <c r="AC69" s="3">
        <v>528</v>
      </c>
      <c r="AD69" s="3">
        <v>792</v>
      </c>
      <c r="AE69" s="3">
        <v>1056</v>
      </c>
      <c r="AF69" s="2">
        <v>580.79999999999995</v>
      </c>
      <c r="AG69" s="3">
        <v>871.2</v>
      </c>
      <c r="AH69" s="2">
        <v>1161.5999999999999</v>
      </c>
      <c r="AI69" s="2">
        <v>648.14972740984399</v>
      </c>
      <c r="AJ69" s="2">
        <v>384.14972740984399</v>
      </c>
      <c r="AK69" s="2">
        <v>120.149727409844</v>
      </c>
      <c r="AL69" s="2">
        <v>595.34972740984404</v>
      </c>
      <c r="AM69" s="2">
        <v>304.949727409844</v>
      </c>
      <c r="AN69" s="2">
        <v>14.5497274098443</v>
      </c>
      <c r="AO69" s="3">
        <v>4.60243025508954E-3</v>
      </c>
      <c r="AP69" s="3">
        <v>6.4114220392368498E-3</v>
      </c>
      <c r="AQ69" s="3">
        <v>3.5331908431355499E-3</v>
      </c>
      <c r="AR69" s="3">
        <v>2.0940752450848898E-3</v>
      </c>
      <c r="AS69" s="3">
        <v>6.5495964703424605E-4</v>
      </c>
      <c r="AT69" s="3">
        <v>3.24536772352542E-3</v>
      </c>
      <c r="AU69" s="3">
        <v>1.6623405656697001E-3</v>
      </c>
      <c r="AV69" s="6">
        <v>7.9313407813985006E-5</v>
      </c>
    </row>
    <row r="70" spans="1:48" x14ac:dyDescent="0.2">
      <c r="A70" t="s">
        <v>53</v>
      </c>
      <c r="B70">
        <v>2024</v>
      </c>
      <c r="C70">
        <v>80</v>
      </c>
      <c r="D70" t="s">
        <v>52</v>
      </c>
      <c r="E70" s="3">
        <v>100396</v>
      </c>
      <c r="F70" s="3">
        <v>4870</v>
      </c>
      <c r="G70" s="3">
        <v>832</v>
      </c>
      <c r="H70" s="3">
        <v>105</v>
      </c>
      <c r="I70" s="3">
        <v>183446</v>
      </c>
      <c r="J70" s="4">
        <v>1.34116666666666</v>
      </c>
      <c r="K70" s="2">
        <v>1.3398333333333301</v>
      </c>
      <c r="L70" s="2">
        <v>3631.1668944948401</v>
      </c>
      <c r="M70" s="3">
        <v>78.367956213459394</v>
      </c>
      <c r="N70" s="3">
        <v>0.13862989319999999</v>
      </c>
      <c r="O70" s="2">
        <v>115.340071142399</v>
      </c>
      <c r="P70" s="2">
        <v>3097.2269303868602</v>
      </c>
      <c r="Q70" s="3">
        <v>0.17610000000000001</v>
      </c>
      <c r="R70" s="3">
        <v>0.21390000000000001</v>
      </c>
      <c r="S70" s="3">
        <v>0.1525</v>
      </c>
      <c r="T70" s="3">
        <v>4.0950825000000002</v>
      </c>
      <c r="U70" s="2">
        <v>639.44849012054101</v>
      </c>
      <c r="V70" s="2">
        <v>16.762905834058898</v>
      </c>
      <c r="W70" s="2">
        <v>472.32710688399698</v>
      </c>
      <c r="X70" s="2">
        <v>1128.5385028385899</v>
      </c>
      <c r="Y70" s="2">
        <v>0.28643255760049102</v>
      </c>
      <c r="Z70" s="2"/>
      <c r="AA70" s="3">
        <f>Table1[[#This Row],[direct_tax]]*Table1[[#This Row],[kappa]]</f>
        <v>323.25016971868632</v>
      </c>
      <c r="AB70" s="2">
        <f>Table1[[#This Row],[direct_tax]]+Table1[[#This Row],[indirect_cost]]</f>
        <v>1451.7886725572762</v>
      </c>
      <c r="AC70" s="3">
        <v>600</v>
      </c>
      <c r="AD70" s="3">
        <v>900</v>
      </c>
      <c r="AE70" s="3">
        <v>1200</v>
      </c>
      <c r="AF70" s="3">
        <v>720</v>
      </c>
      <c r="AG70" s="3">
        <v>1080</v>
      </c>
      <c r="AH70" s="3">
        <v>1440</v>
      </c>
      <c r="AI70" s="2">
        <v>851.78867255728699</v>
      </c>
      <c r="AJ70" s="2">
        <v>551.78867255728699</v>
      </c>
      <c r="AK70" s="2">
        <v>251.78867255728699</v>
      </c>
      <c r="AL70" s="2">
        <v>731.78867255728699</v>
      </c>
      <c r="AM70" s="2">
        <v>371.78867255728699</v>
      </c>
      <c r="AN70" s="3">
        <v>11.7886725572871</v>
      </c>
      <c r="AO70" s="3">
        <v>6.1518839486202903E-3</v>
      </c>
      <c r="AP70" s="3">
        <v>7.9139838020850107E-3</v>
      </c>
      <c r="AQ70" s="3">
        <v>4.6432665337880702E-3</v>
      </c>
      <c r="AR70" s="3">
        <v>3.0079078996396E-3</v>
      </c>
      <c r="AS70" s="3">
        <v>1.37254926549113E-3</v>
      </c>
      <c r="AT70" s="3">
        <v>3.9891230801286804E-3</v>
      </c>
      <c r="AU70" s="3">
        <v>2.02669271915052E-3</v>
      </c>
      <c r="AV70" s="6">
        <v>6.4262358172361794E-5</v>
      </c>
    </row>
    <row r="71" spans="1:48" x14ac:dyDescent="0.2">
      <c r="A71" t="s">
        <v>53</v>
      </c>
      <c r="B71">
        <v>2025</v>
      </c>
      <c r="C71">
        <v>0</v>
      </c>
      <c r="D71" t="s">
        <v>52</v>
      </c>
      <c r="E71" s="3">
        <v>100396</v>
      </c>
      <c r="F71" s="3">
        <v>4870</v>
      </c>
      <c r="G71" s="3">
        <v>832</v>
      </c>
      <c r="H71" s="3">
        <v>105</v>
      </c>
      <c r="I71" s="3">
        <v>183446</v>
      </c>
      <c r="J71" s="4">
        <v>1.36283333333333</v>
      </c>
      <c r="K71" s="2">
        <v>1.26558333333333</v>
      </c>
      <c r="L71" s="3">
        <v>3573.43769108475</v>
      </c>
      <c r="M71" s="2">
        <v>82.965694343846707</v>
      </c>
      <c r="N71" s="3">
        <v>0.13862989319999999</v>
      </c>
      <c r="O71" s="2">
        <v>115.340071142399</v>
      </c>
      <c r="P71" s="2">
        <v>3097.2269303868602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/>
      <c r="AA71" s="3">
        <f>Table1[[#This Row],[direct_tax]]*Table1[[#This Row],[kappa]]</f>
        <v>0</v>
      </c>
      <c r="AB71" s="3">
        <f>Table1[[#This Row],[direct_tax]]+Table1[[#This Row],[indirect_cost]]</f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</row>
    <row r="72" spans="1:48" x14ac:dyDescent="0.2">
      <c r="A72" t="s">
        <v>54</v>
      </c>
      <c r="B72">
        <v>2019</v>
      </c>
      <c r="C72">
        <v>20</v>
      </c>
      <c r="D72" t="s">
        <v>48</v>
      </c>
      <c r="E72" s="3">
        <v>67501</v>
      </c>
      <c r="F72" s="3">
        <v>1434</v>
      </c>
      <c r="G72" s="3">
        <v>480</v>
      </c>
      <c r="H72" s="3">
        <v>95</v>
      </c>
      <c r="I72" s="3">
        <v>38748</v>
      </c>
      <c r="J72" s="4">
        <v>1.11154166666666</v>
      </c>
      <c r="K72" s="2">
        <v>1.1245833333333299</v>
      </c>
      <c r="L72" s="2">
        <v>1290.1000862165899</v>
      </c>
      <c r="M72" s="2">
        <v>84.475731752500906</v>
      </c>
      <c r="N72" s="3">
        <v>8.7825772199999999E-2</v>
      </c>
      <c r="O72" s="3">
        <v>42.156370656</v>
      </c>
      <c r="P72" s="2">
        <v>1132.0250212255601</v>
      </c>
      <c r="Q72" s="3">
        <v>4.4200000000000003E-2</v>
      </c>
      <c r="R72" s="3">
        <v>5.3699999999999998E-2</v>
      </c>
      <c r="S72" s="3">
        <v>3.9100000000000003E-2</v>
      </c>
      <c r="T72" s="2">
        <v>1.0499522999999999</v>
      </c>
      <c r="U72" s="2">
        <v>57.022423810773297</v>
      </c>
      <c r="V72" s="3">
        <v>4.5363467951093002</v>
      </c>
      <c r="W72" s="2">
        <v>44.262178329919699</v>
      </c>
      <c r="X72" s="2">
        <v>105.82094893580199</v>
      </c>
      <c r="Y72" s="2">
        <v>1.2481659124189699</v>
      </c>
      <c r="Z72" s="2"/>
      <c r="AA72" s="2">
        <f>Table1[[#This Row],[direct_tax]]*Table1[[#This Row],[kappa]]</f>
        <v>132.08210128149651</v>
      </c>
      <c r="AB72" s="2">
        <f>Table1[[#This Row],[direct_tax]]+Table1[[#This Row],[indirect_cost]]</f>
        <v>237.9030502172985</v>
      </c>
      <c r="AC72" s="3">
        <v>305</v>
      </c>
      <c r="AD72" s="3">
        <v>457</v>
      </c>
      <c r="AE72" s="3">
        <v>609</v>
      </c>
      <c r="AF72" s="3">
        <v>335.5</v>
      </c>
      <c r="AG72" s="2">
        <v>502.7</v>
      </c>
      <c r="AH72" s="2">
        <v>669.9</v>
      </c>
      <c r="AI72" s="3">
        <v>-67.096949782700406</v>
      </c>
      <c r="AJ72" s="3">
        <v>-219.09694978269999</v>
      </c>
      <c r="AK72" s="3">
        <v>-371.09694978269999</v>
      </c>
      <c r="AL72" s="3">
        <v>-97.596949782700406</v>
      </c>
      <c r="AM72" s="3">
        <v>-264.79694978269998</v>
      </c>
      <c r="AN72" s="3">
        <v>-431.99694978270003</v>
      </c>
      <c r="AO72" s="3">
        <v>2.7310041533963598E-3</v>
      </c>
      <c r="AP72" s="3">
        <v>6.1397504443403399E-3</v>
      </c>
      <c r="AQ72" s="3">
        <v>-1.73162356205998E-3</v>
      </c>
      <c r="AR72" s="3">
        <v>-5.6544066734463801E-3</v>
      </c>
      <c r="AS72" s="3">
        <v>-9.5771897848327698E-3</v>
      </c>
      <c r="AT72" s="3">
        <v>-2.5187609627000201E-3</v>
      </c>
      <c r="AU72" s="3">
        <v>-6.8338223852250496E-3</v>
      </c>
      <c r="AV72" s="3">
        <v>-1.1148883807750001E-2</v>
      </c>
    </row>
    <row r="73" spans="1:48" x14ac:dyDescent="0.2">
      <c r="A73" t="s">
        <v>54</v>
      </c>
      <c r="B73">
        <v>2020</v>
      </c>
      <c r="C73">
        <v>30</v>
      </c>
      <c r="D73" t="s">
        <v>48</v>
      </c>
      <c r="E73" s="3">
        <v>56398</v>
      </c>
      <c r="F73" s="3">
        <v>1521.5</v>
      </c>
      <c r="G73" s="3">
        <v>486.5</v>
      </c>
      <c r="H73" s="3">
        <v>148.5</v>
      </c>
      <c r="I73" s="3">
        <v>40181.5</v>
      </c>
      <c r="J73" s="4">
        <v>0.96683333333333299</v>
      </c>
      <c r="K73" s="2">
        <v>0.92245833333333305</v>
      </c>
      <c r="L73" s="2">
        <v>1573.6941906567799</v>
      </c>
      <c r="M73" s="2">
        <v>160.982880888929</v>
      </c>
      <c r="N73" s="3">
        <v>8.7825772199999999E-2</v>
      </c>
      <c r="O73" s="3">
        <v>42.727238175300002</v>
      </c>
      <c r="P73" s="2">
        <v>1147.3545267213301</v>
      </c>
      <c r="Q73" s="3">
        <v>6.6299999999999998E-2</v>
      </c>
      <c r="R73" s="3">
        <v>8.0500000000000002E-2</v>
      </c>
      <c r="S73" s="3">
        <v>5.8700000000000002E-2</v>
      </c>
      <c r="T73" s="2">
        <v>1.5762711</v>
      </c>
      <c r="U73" s="2">
        <v>104.335924840544</v>
      </c>
      <c r="V73" s="2">
        <v>12.9591219115587</v>
      </c>
      <c r="W73" s="2">
        <v>67.349710718542099</v>
      </c>
      <c r="X73" s="2">
        <v>184.644757470645</v>
      </c>
      <c r="Y73" s="2">
        <v>1.1155916982380001</v>
      </c>
      <c r="Z73" s="2"/>
      <c r="AA73" s="2">
        <f>Table1[[#This Row],[direct_tax]]*Table1[[#This Row],[kappa]]</f>
        <v>205.98815855742052</v>
      </c>
      <c r="AB73" s="2">
        <f>Table1[[#This Row],[direct_tax]]+Table1[[#This Row],[indirect_cost]]</f>
        <v>390.63291602806555</v>
      </c>
      <c r="AC73" s="3">
        <v>405</v>
      </c>
      <c r="AD73" s="3">
        <v>607</v>
      </c>
      <c r="AE73" s="3">
        <v>809</v>
      </c>
      <c r="AF73" s="2">
        <v>445.5</v>
      </c>
      <c r="AG73" s="3">
        <v>667.7</v>
      </c>
      <c r="AH73" s="2">
        <v>889.9</v>
      </c>
      <c r="AI73" s="3">
        <v>-14.367083971932599</v>
      </c>
      <c r="AJ73" s="3">
        <v>-216.367083971932</v>
      </c>
      <c r="AK73" s="3">
        <v>-418.367083971932</v>
      </c>
      <c r="AL73" s="3">
        <v>-54.867083971932601</v>
      </c>
      <c r="AM73" s="3">
        <v>-277.06708397193199</v>
      </c>
      <c r="AN73" s="3">
        <v>-499.26708397193198</v>
      </c>
      <c r="AO73" s="3">
        <v>4.5952679086307298E-3</v>
      </c>
      <c r="AP73" s="3">
        <v>9.7217106386786704E-3</v>
      </c>
      <c r="AQ73" s="3">
        <v>-3.5755469487034101E-4</v>
      </c>
      <c r="AR73" s="3">
        <v>-5.3847438241960196E-3</v>
      </c>
      <c r="AS73" s="3">
        <v>-1.04119329535217E-2</v>
      </c>
      <c r="AT73" s="3">
        <v>-1.3654812282252399E-3</v>
      </c>
      <c r="AU73" s="3">
        <v>-6.8953892704834898E-3</v>
      </c>
      <c r="AV73" s="3">
        <v>-1.2425297312741701E-2</v>
      </c>
    </row>
    <row r="74" spans="1:48" x14ac:dyDescent="0.2">
      <c r="A74" t="s">
        <v>54</v>
      </c>
      <c r="B74">
        <v>2021</v>
      </c>
      <c r="C74">
        <v>40</v>
      </c>
      <c r="D74" t="s">
        <v>48</v>
      </c>
      <c r="E74" s="3">
        <v>41212</v>
      </c>
      <c r="F74" s="3">
        <v>1609</v>
      </c>
      <c r="G74" s="3">
        <v>493</v>
      </c>
      <c r="H74" s="3">
        <v>202</v>
      </c>
      <c r="I74" s="3">
        <v>41615</v>
      </c>
      <c r="J74" s="4">
        <v>1.2702499999999901</v>
      </c>
      <c r="K74" s="3">
        <v>1.13225</v>
      </c>
      <c r="L74" s="2">
        <v>1266.6797874434101</v>
      </c>
      <c r="M74" s="2">
        <v>178.405829101346</v>
      </c>
      <c r="N74" s="3">
        <v>8.7825772199999999E-2</v>
      </c>
      <c r="O74" s="3">
        <v>43.298105694599997</v>
      </c>
      <c r="P74" s="2">
        <v>1162.6840322170899</v>
      </c>
      <c r="Q74" s="3">
        <v>8.8400000000000006E-2</v>
      </c>
      <c r="R74" s="3">
        <v>0.10730000000000001</v>
      </c>
      <c r="S74" s="3">
        <v>7.8299999999999995E-2</v>
      </c>
      <c r="T74" s="3">
        <v>2.1025898999999999</v>
      </c>
      <c r="U74" s="2">
        <v>111.974493209998</v>
      </c>
      <c r="V74" s="2">
        <v>19.142945462574499</v>
      </c>
      <c r="W74" s="2">
        <v>91.038159722598394</v>
      </c>
      <c r="X74" s="3">
        <v>222.15559839517101</v>
      </c>
      <c r="Y74" s="2">
        <v>0.98301748405703304</v>
      </c>
      <c r="Z74" s="2"/>
      <c r="AA74" s="2">
        <f>Table1[[#This Row],[direct_tax]]*Table1[[#This Row],[kappa]]</f>
        <v>218.38283740360566</v>
      </c>
      <c r="AB74" s="2">
        <f>Table1[[#This Row],[direct_tax]]+Table1[[#This Row],[indirect_cost]]</f>
        <v>440.53843579877667</v>
      </c>
      <c r="AC74" s="3">
        <v>500</v>
      </c>
      <c r="AD74" s="3">
        <v>750</v>
      </c>
      <c r="AE74" s="3">
        <v>1000</v>
      </c>
      <c r="AF74" s="3">
        <v>550</v>
      </c>
      <c r="AG74" s="2">
        <v>825</v>
      </c>
      <c r="AH74" s="3">
        <v>1100</v>
      </c>
      <c r="AI74" s="3">
        <v>-59.461564201223297</v>
      </c>
      <c r="AJ74" s="3">
        <v>-309.46156420122298</v>
      </c>
      <c r="AK74" s="3">
        <v>-559.46156420122304</v>
      </c>
      <c r="AL74" s="3">
        <v>-109.461564201223</v>
      </c>
      <c r="AM74" s="3">
        <v>-384.46156420122298</v>
      </c>
      <c r="AN74" s="3">
        <v>-659.46156420122304</v>
      </c>
      <c r="AO74" s="3">
        <v>5.33835392034533E-3</v>
      </c>
      <c r="AP74" s="3">
        <v>1.05860491601292E-2</v>
      </c>
      <c r="AQ74" s="3">
        <v>-1.4288493139786901E-3</v>
      </c>
      <c r="AR74" s="3">
        <v>-7.4362985510326397E-3</v>
      </c>
      <c r="AS74" s="3">
        <v>-1.34437477880865E-2</v>
      </c>
      <c r="AT74" s="3">
        <v>-2.6303391613894801E-3</v>
      </c>
      <c r="AU74" s="3">
        <v>-9.2385333221488199E-3</v>
      </c>
      <c r="AV74" s="3">
        <v>-1.58467274829081E-2</v>
      </c>
    </row>
    <row r="75" spans="1:48" x14ac:dyDescent="0.2">
      <c r="A75" t="s">
        <v>54</v>
      </c>
      <c r="B75">
        <v>2022</v>
      </c>
      <c r="C75">
        <v>50</v>
      </c>
      <c r="D75" t="s">
        <v>48</v>
      </c>
      <c r="E75" s="3">
        <v>45920</v>
      </c>
      <c r="F75" s="3">
        <v>1454</v>
      </c>
      <c r="G75" s="3">
        <v>485.5</v>
      </c>
      <c r="H75" s="3">
        <v>202</v>
      </c>
      <c r="I75" s="3">
        <v>40643.5</v>
      </c>
      <c r="J75" s="3">
        <v>1.651875</v>
      </c>
      <c r="K75" s="2">
        <v>1.74491666666666</v>
      </c>
      <c r="L75" s="2">
        <v>880.21188043889504</v>
      </c>
      <c r="M75" s="2">
        <v>115.764840727828</v>
      </c>
      <c r="N75" s="3">
        <v>8.7825772199999999E-2</v>
      </c>
      <c r="O75" s="2">
        <v>42.639412403099897</v>
      </c>
      <c r="P75" s="2">
        <v>1144.99614126044</v>
      </c>
      <c r="Q75" s="3">
        <v>0.1105</v>
      </c>
      <c r="R75" s="3">
        <v>0.1341</v>
      </c>
      <c r="S75" s="3">
        <v>9.7900000000000001E-2</v>
      </c>
      <c r="T75" s="3">
        <v>2.6289087000000002</v>
      </c>
      <c r="U75" s="2">
        <v>97.263412788497902</v>
      </c>
      <c r="V75" s="2">
        <v>15.524065141601699</v>
      </c>
      <c r="W75" s="2">
        <v>112.09512222939701</v>
      </c>
      <c r="X75" s="2">
        <v>224.882600159497</v>
      </c>
      <c r="Y75" s="2">
        <v>0.850443269876063</v>
      </c>
      <c r="Z75" s="2"/>
      <c r="AA75" s="2">
        <f>Table1[[#This Row],[direct_tax]]*Table1[[#This Row],[kappa]]</f>
        <v>191.24989381787387</v>
      </c>
      <c r="AB75" s="2">
        <f>Table1[[#This Row],[direct_tax]]+Table1[[#This Row],[indirect_cost]]</f>
        <v>416.13249397737087</v>
      </c>
      <c r="AC75" s="3">
        <v>550</v>
      </c>
      <c r="AD75" s="3">
        <v>825</v>
      </c>
      <c r="AE75" s="3">
        <v>1101</v>
      </c>
      <c r="AF75" s="3">
        <v>605</v>
      </c>
      <c r="AG75" s="2">
        <v>907.5</v>
      </c>
      <c r="AH75" s="2">
        <v>1211.0999999999999</v>
      </c>
      <c r="AI75" s="3">
        <v>-133.86750602262799</v>
      </c>
      <c r="AJ75" s="3">
        <v>-408.86750602262799</v>
      </c>
      <c r="AK75" s="3">
        <v>-684.86750602262805</v>
      </c>
      <c r="AL75" s="3">
        <v>-188.86750602262799</v>
      </c>
      <c r="AM75" s="3">
        <v>-491.36750602262799</v>
      </c>
      <c r="AN75" s="3">
        <v>-794.96750602262796</v>
      </c>
      <c r="AO75" s="3">
        <v>5.5330520294634301E-3</v>
      </c>
      <c r="AP75" s="2">
        <v>1.02385988897947E-2</v>
      </c>
      <c r="AQ75" s="3">
        <v>-3.2937002478287702E-3</v>
      </c>
      <c r="AR75" s="3">
        <v>-1.0059849816640499E-2</v>
      </c>
      <c r="AS75" s="3">
        <v>-1.68506035657024E-2</v>
      </c>
      <c r="AT75" s="3">
        <v>-4.6469301615911099E-3</v>
      </c>
      <c r="AU75" s="3">
        <v>-1.2089694687284E-2</v>
      </c>
      <c r="AV75" s="3">
        <v>-1.95595238112522E-2</v>
      </c>
    </row>
    <row r="76" spans="1:48" x14ac:dyDescent="0.2">
      <c r="A76" t="s">
        <v>54</v>
      </c>
      <c r="B76">
        <v>2023</v>
      </c>
      <c r="C76">
        <v>65</v>
      </c>
      <c r="D76" t="s">
        <v>48</v>
      </c>
      <c r="E76" s="3">
        <v>45995</v>
      </c>
      <c r="F76" s="3">
        <v>1299</v>
      </c>
      <c r="G76" s="3">
        <v>478</v>
      </c>
      <c r="H76" s="3">
        <v>202</v>
      </c>
      <c r="I76" s="3">
        <v>39672</v>
      </c>
      <c r="J76" s="4">
        <v>1.52866666666666</v>
      </c>
      <c r="K76" s="3">
        <v>1.6768749999999999</v>
      </c>
      <c r="L76" s="2">
        <v>849.76013955516703</v>
      </c>
      <c r="M76" s="2">
        <v>120.462169213566</v>
      </c>
      <c r="N76" s="3">
        <v>8.7825772199999999E-2</v>
      </c>
      <c r="O76" s="3">
        <v>41.980719111600003</v>
      </c>
      <c r="P76" s="2">
        <v>1127.3082503037899</v>
      </c>
      <c r="Q76" s="3">
        <v>0.1431</v>
      </c>
      <c r="R76" s="3">
        <v>0.17380000000000001</v>
      </c>
      <c r="S76" s="3">
        <v>0.1239</v>
      </c>
      <c r="T76" s="3">
        <v>3.3270867000000002</v>
      </c>
      <c r="U76" s="2">
        <v>121.600675970344</v>
      </c>
      <c r="V76" s="2">
        <v>20.936325009317901</v>
      </c>
      <c r="W76" s="2">
        <v>139.67349221264001</v>
      </c>
      <c r="X76" s="2">
        <v>282.21049319230201</v>
      </c>
      <c r="Y76" s="2">
        <v>0.65158194860460905</v>
      </c>
      <c r="Z76" s="2"/>
      <c r="AA76" s="2">
        <f>Table1[[#This Row],[direct_tax]]*Table1[[#This Row],[kappa]]</f>
        <v>183.8832630709079</v>
      </c>
      <c r="AB76" s="3">
        <f>Table1[[#This Row],[direct_tax]]+Table1[[#This Row],[indirect_cost]]</f>
        <v>466.09375626320991</v>
      </c>
      <c r="AC76" s="3">
        <v>680</v>
      </c>
      <c r="AD76" s="3">
        <v>1020</v>
      </c>
      <c r="AE76" s="3">
        <v>1360</v>
      </c>
      <c r="AF76" s="2">
        <v>748</v>
      </c>
      <c r="AG76" s="3">
        <v>1122</v>
      </c>
      <c r="AH76" s="2">
        <v>1496</v>
      </c>
      <c r="AI76" s="3">
        <v>-213.90624373678901</v>
      </c>
      <c r="AJ76" s="3">
        <v>-553.90624373678895</v>
      </c>
      <c r="AK76" s="3">
        <v>-893.90624373678895</v>
      </c>
      <c r="AL76" s="3">
        <v>-281.90624373678901</v>
      </c>
      <c r="AM76" s="3">
        <v>-655.90624373678895</v>
      </c>
      <c r="AN76" s="3">
        <v>-1029.90624373678</v>
      </c>
      <c r="AO76" s="3">
        <v>7.1135937989590297E-3</v>
      </c>
      <c r="AP76" s="3">
        <v>1.1748683108066401E-2</v>
      </c>
      <c r="AQ76" s="3">
        <v>-5.3918694226857402E-3</v>
      </c>
      <c r="AR76" s="3">
        <v>-1.3962145688061801E-2</v>
      </c>
      <c r="AS76" s="3">
        <v>-2.2532421953437898E-2</v>
      </c>
      <c r="AT76" s="3">
        <v>-7.1059246757609598E-3</v>
      </c>
      <c r="AU76" s="3">
        <v>-1.6533228567674599E-2</v>
      </c>
      <c r="AV76" s="3">
        <v>-2.5960532459588299E-2</v>
      </c>
    </row>
    <row r="77" spans="1:48" x14ac:dyDescent="0.2">
      <c r="A77" t="s">
        <v>54</v>
      </c>
      <c r="B77">
        <v>2024</v>
      </c>
      <c r="C77">
        <v>80</v>
      </c>
      <c r="D77" t="s">
        <v>48</v>
      </c>
      <c r="E77" s="3">
        <v>45681</v>
      </c>
      <c r="F77" s="3">
        <v>1299</v>
      </c>
      <c r="G77" s="3">
        <v>478</v>
      </c>
      <c r="H77" s="3">
        <v>202</v>
      </c>
      <c r="I77" s="3">
        <v>39672</v>
      </c>
      <c r="J77" s="4">
        <v>1.49741666666666</v>
      </c>
      <c r="K77" s="3">
        <v>1.4333750000000001</v>
      </c>
      <c r="L77" s="2">
        <v>867.49401747453896</v>
      </c>
      <c r="M77" s="2">
        <v>140.92613586814301</v>
      </c>
      <c r="N77" s="3">
        <v>8.7825772199999999E-2</v>
      </c>
      <c r="O77" s="3">
        <v>41.980719111600003</v>
      </c>
      <c r="P77" s="2">
        <v>1127.3082503037899</v>
      </c>
      <c r="Q77" s="3">
        <v>0.17610000000000001</v>
      </c>
      <c r="R77" s="3">
        <v>0.21390000000000001</v>
      </c>
      <c r="S77" s="3">
        <v>0.1525</v>
      </c>
      <c r="T77" s="3">
        <v>4.0950825000000002</v>
      </c>
      <c r="U77" s="2">
        <v>152.765696477266</v>
      </c>
      <c r="V77" s="2">
        <v>30.144100462195802</v>
      </c>
      <c r="W77" s="2">
        <v>171.91450817132801</v>
      </c>
      <c r="X77" s="3">
        <v>354.82430511079099</v>
      </c>
      <c r="Y77" s="3">
        <v>0.45272062733315499</v>
      </c>
      <c r="Z77" s="3"/>
      <c r="AA77" s="2">
        <f>Table1[[#This Row],[direct_tax]]*Table1[[#This Row],[kappa]]</f>
        <v>160.63628200280809</v>
      </c>
      <c r="AB77" s="2">
        <f>Table1[[#This Row],[direct_tax]]+Table1[[#This Row],[indirect_cost]]</f>
        <v>515.4605871135991</v>
      </c>
      <c r="AC77" s="3">
        <v>752</v>
      </c>
      <c r="AD77" s="3">
        <v>1128</v>
      </c>
      <c r="AE77" s="3">
        <v>1504</v>
      </c>
      <c r="AF77" s="3">
        <v>902.4</v>
      </c>
      <c r="AG77" s="3">
        <v>1353.6</v>
      </c>
      <c r="AH77" s="3">
        <v>1804.8</v>
      </c>
      <c r="AI77" s="3">
        <v>-236.53941288639999</v>
      </c>
      <c r="AJ77" s="3">
        <v>-612.53941288639999</v>
      </c>
      <c r="AK77" s="3">
        <v>-988.53941288639999</v>
      </c>
      <c r="AL77" s="3">
        <v>-386.93941288640002</v>
      </c>
      <c r="AM77" s="3">
        <v>-838.13941288640001</v>
      </c>
      <c r="AN77" s="3">
        <v>-1289.3394128863999</v>
      </c>
      <c r="AO77" s="3">
        <v>8.9439480013811003E-3</v>
      </c>
      <c r="AP77" s="3">
        <v>1.29930577514014E-2</v>
      </c>
      <c r="AQ77" s="3">
        <v>-5.9623768120185697E-3</v>
      </c>
      <c r="AR77" s="3">
        <v>-1.54400940937285E-2</v>
      </c>
      <c r="AS77" s="3">
        <v>-2.4917811375438598E-2</v>
      </c>
      <c r="AT77" s="3">
        <v>-9.7534637247025796E-3</v>
      </c>
      <c r="AU77" s="3">
        <v>-2.1126724462754602E-2</v>
      </c>
      <c r="AV77" s="3">
        <v>-3.2499985200806603E-2</v>
      </c>
    </row>
    <row r="78" spans="1:48" x14ac:dyDescent="0.2">
      <c r="A78" t="s">
        <v>54</v>
      </c>
      <c r="B78">
        <v>2025</v>
      </c>
      <c r="C78">
        <v>0</v>
      </c>
      <c r="D78" t="s">
        <v>48</v>
      </c>
      <c r="E78" s="3">
        <v>45681</v>
      </c>
      <c r="F78" s="3">
        <v>1299</v>
      </c>
      <c r="G78" s="3">
        <v>478</v>
      </c>
      <c r="H78" s="3">
        <v>202</v>
      </c>
      <c r="I78" s="3">
        <v>39672</v>
      </c>
      <c r="J78" s="4">
        <v>1.37879166666666</v>
      </c>
      <c r="K78" s="2">
        <v>1.2946249999999999</v>
      </c>
      <c r="L78" s="2">
        <v>942.129279864615</v>
      </c>
      <c r="M78" s="2">
        <v>156.02973834121801</v>
      </c>
      <c r="N78" s="3">
        <v>8.7825772199999999E-2</v>
      </c>
      <c r="O78" s="3">
        <v>41.980719111600003</v>
      </c>
      <c r="P78" s="2">
        <v>1127.3082503037899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/>
      <c r="AA78" s="3">
        <f>Table1[[#This Row],[direct_tax]]*Table1[[#This Row],[kappa]]</f>
        <v>0</v>
      </c>
      <c r="AB78" s="3">
        <f>Table1[[#This Row],[direct_tax]]+Table1[[#This Row],[indirect_cost]]</f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</row>
    <row r="79" spans="1:48" x14ac:dyDescent="0.2">
      <c r="A79" t="s">
        <v>54</v>
      </c>
      <c r="B79">
        <v>2019</v>
      </c>
      <c r="C79">
        <v>20</v>
      </c>
      <c r="D79" t="s">
        <v>49</v>
      </c>
      <c r="E79" s="3">
        <v>84008</v>
      </c>
      <c r="F79" s="3">
        <v>2164</v>
      </c>
      <c r="G79" s="3">
        <v>630</v>
      </c>
      <c r="H79" s="3">
        <v>130</v>
      </c>
      <c r="I79" s="3">
        <v>58991</v>
      </c>
      <c r="J79" s="4">
        <v>1.11154166666666</v>
      </c>
      <c r="K79" s="2">
        <v>1.1245833333333299</v>
      </c>
      <c r="L79" s="2">
        <v>1946.8455973310299</v>
      </c>
      <c r="M79" s="2">
        <v>115.59836976658001</v>
      </c>
      <c r="N79" s="3">
        <v>8.7825772199999999E-2</v>
      </c>
      <c r="O79" s="3">
        <v>55.330236485999997</v>
      </c>
      <c r="P79" s="2">
        <v>1485.7828403585499</v>
      </c>
      <c r="Q79" s="3">
        <v>4.4200000000000003E-2</v>
      </c>
      <c r="R79" s="3">
        <v>5.3699999999999998E-2</v>
      </c>
      <c r="S79" s="3">
        <v>3.9100000000000003E-2</v>
      </c>
      <c r="T79" s="2">
        <v>1.0499522999999999</v>
      </c>
      <c r="U79" s="2">
        <v>86.050575402031697</v>
      </c>
      <c r="V79" s="2">
        <v>6.2076324564653502</v>
      </c>
      <c r="W79" s="2">
        <v>58.094109058019598</v>
      </c>
      <c r="X79" s="2">
        <v>150.352316916516</v>
      </c>
      <c r="Y79" s="2">
        <v>1.2481659124189699</v>
      </c>
      <c r="Z79" s="2"/>
      <c r="AA79" s="2">
        <f>Table1[[#This Row],[direct_tax]]*Table1[[#This Row],[kappa]]</f>
        <v>187.66463682840933</v>
      </c>
      <c r="AB79" s="2">
        <f>Table1[[#This Row],[direct_tax]]+Table1[[#This Row],[indirect_cost]]</f>
        <v>338.01695374492533</v>
      </c>
      <c r="AC79" s="3">
        <v>305</v>
      </c>
      <c r="AD79" s="3">
        <v>457</v>
      </c>
      <c r="AE79" s="3">
        <v>609</v>
      </c>
      <c r="AF79" s="3">
        <v>335.5</v>
      </c>
      <c r="AG79" s="2">
        <v>502.7</v>
      </c>
      <c r="AH79" s="2">
        <v>669.9</v>
      </c>
      <c r="AI79" s="2">
        <v>33.0169537449272</v>
      </c>
      <c r="AJ79" s="3">
        <v>-118.983046255072</v>
      </c>
      <c r="AK79" s="3">
        <v>-270.983046255072</v>
      </c>
      <c r="AL79" s="2">
        <v>2.5169537449272599</v>
      </c>
      <c r="AM79" s="3">
        <v>-164.68304625507199</v>
      </c>
      <c r="AN79" s="3">
        <v>-331.88304625507197</v>
      </c>
      <c r="AO79" s="3">
        <v>2.5487331443188998E-3</v>
      </c>
      <c r="AP79" s="3">
        <v>5.7299749749101904E-3</v>
      </c>
      <c r="AQ79" s="3">
        <v>5.5969476267442905E-4</v>
      </c>
      <c r="AR79" s="3">
        <v>-2.0169694742430602E-3</v>
      </c>
      <c r="AS79" s="3">
        <v>-4.5936337111605599E-3</v>
      </c>
      <c r="AT79" s="6">
        <v>4.2666741450852898E-5</v>
      </c>
      <c r="AU79" s="3">
        <v>-2.7916639191583898E-3</v>
      </c>
      <c r="AV79" s="3">
        <v>-5.6259945797676398E-3</v>
      </c>
    </row>
    <row r="80" spans="1:48" x14ac:dyDescent="0.2">
      <c r="A80" t="s">
        <v>54</v>
      </c>
      <c r="B80">
        <v>2020</v>
      </c>
      <c r="C80">
        <v>30</v>
      </c>
      <c r="D80" t="s">
        <v>49</v>
      </c>
      <c r="E80" s="3">
        <v>104603</v>
      </c>
      <c r="F80" s="3">
        <v>1969</v>
      </c>
      <c r="G80" s="3">
        <v>683</v>
      </c>
      <c r="H80" s="3">
        <v>100.75</v>
      </c>
      <c r="I80" s="3">
        <v>58773</v>
      </c>
      <c r="J80" s="4">
        <v>0.96683333333333299</v>
      </c>
      <c r="K80" s="2">
        <v>0.92245833333333305</v>
      </c>
      <c r="L80" s="2">
        <v>2036.5454232028901</v>
      </c>
      <c r="M80" s="2">
        <v>109.219025249559</v>
      </c>
      <c r="N80" s="3">
        <v>8.7825772199999999E-2</v>
      </c>
      <c r="O80" s="3">
        <v>59.985002412599997</v>
      </c>
      <c r="P80" s="2">
        <v>1610.7772697855401</v>
      </c>
      <c r="Q80" s="3">
        <v>6.6299999999999998E-2</v>
      </c>
      <c r="R80" s="3">
        <v>8.0500000000000002E-2</v>
      </c>
      <c r="S80" s="3">
        <v>5.8700000000000002E-2</v>
      </c>
      <c r="T80" s="2">
        <v>1.5762711</v>
      </c>
      <c r="U80" s="3">
        <v>135.02296155835199</v>
      </c>
      <c r="V80" s="2">
        <v>8.7921315325895399</v>
      </c>
      <c r="W80" s="2">
        <v>94.552625736411599</v>
      </c>
      <c r="X80" s="2">
        <v>238.367718827353</v>
      </c>
      <c r="Y80" s="2">
        <v>1.1155916982380001</v>
      </c>
      <c r="Z80" s="2"/>
      <c r="AA80" s="2">
        <f>Table1[[#This Row],[direct_tax]]*Table1[[#This Row],[kappa]]</f>
        <v>265.92104825172487</v>
      </c>
      <c r="AB80" s="2">
        <f>Table1[[#This Row],[direct_tax]]+Table1[[#This Row],[indirect_cost]]</f>
        <v>504.28876707907784</v>
      </c>
      <c r="AC80" s="3">
        <v>405</v>
      </c>
      <c r="AD80" s="3">
        <v>607</v>
      </c>
      <c r="AE80" s="3">
        <v>809</v>
      </c>
      <c r="AF80" s="2">
        <v>445.5</v>
      </c>
      <c r="AG80" s="3">
        <v>667.7</v>
      </c>
      <c r="AH80" s="2">
        <v>889.9</v>
      </c>
      <c r="AI80" s="2">
        <v>99.288767079078895</v>
      </c>
      <c r="AJ80" s="3">
        <v>-102.71123292092101</v>
      </c>
      <c r="AK80" s="3">
        <v>-304.71123292092102</v>
      </c>
      <c r="AL80" s="2">
        <v>58.788767079078802</v>
      </c>
      <c r="AM80" s="3">
        <v>-163.41123292092101</v>
      </c>
      <c r="AN80" s="3">
        <v>-385.611232920921</v>
      </c>
      <c r="AO80" s="3">
        <v>4.0557350965128997E-3</v>
      </c>
      <c r="AP80" s="3">
        <v>8.5802795004352103E-3</v>
      </c>
      <c r="AQ80" s="3">
        <v>1.6893602007567901E-3</v>
      </c>
      <c r="AR80" s="3">
        <v>-1.74759214130503E-3</v>
      </c>
      <c r="AS80" s="3">
        <v>-5.1845444833668701E-3</v>
      </c>
      <c r="AT80" s="3">
        <v>1.00026827078894E-3</v>
      </c>
      <c r="AU80" s="3">
        <v>-2.7803793054790599E-3</v>
      </c>
      <c r="AV80" s="3">
        <v>-6.56102688174708E-3</v>
      </c>
    </row>
    <row r="81" spans="1:48" x14ac:dyDescent="0.2">
      <c r="A81" t="s">
        <v>54</v>
      </c>
      <c r="B81">
        <v>2021</v>
      </c>
      <c r="C81">
        <v>40</v>
      </c>
      <c r="D81" t="s">
        <v>49</v>
      </c>
      <c r="E81" s="3">
        <v>116864</v>
      </c>
      <c r="F81" s="3">
        <v>1774</v>
      </c>
      <c r="G81" s="3">
        <v>736</v>
      </c>
      <c r="H81" s="3">
        <v>71.5</v>
      </c>
      <c r="I81" s="3">
        <v>58555</v>
      </c>
      <c r="J81" s="4">
        <v>1.2702499999999901</v>
      </c>
      <c r="K81" s="3">
        <v>1.13225</v>
      </c>
      <c r="L81" s="2">
        <v>1396.5754772682501</v>
      </c>
      <c r="M81" s="2">
        <v>63.148597924486602</v>
      </c>
      <c r="N81" s="3">
        <v>8.7825772199999999E-2</v>
      </c>
      <c r="O81" s="3">
        <v>64.639768339200003</v>
      </c>
      <c r="P81" s="2">
        <v>1735.7716992125299</v>
      </c>
      <c r="Q81" s="3">
        <v>8.8400000000000006E-2</v>
      </c>
      <c r="R81" s="3">
        <v>0.10730000000000001</v>
      </c>
      <c r="S81" s="3">
        <v>7.8299999999999995E-2</v>
      </c>
      <c r="T81" s="3">
        <v>2.1025898999999999</v>
      </c>
      <c r="U81" s="2">
        <v>123.457272190513</v>
      </c>
      <c r="V81" s="2">
        <v>6.7758445572974102</v>
      </c>
      <c r="W81" s="2">
        <v>135.910924048341</v>
      </c>
      <c r="X81" s="2">
        <v>266.14404079615201</v>
      </c>
      <c r="Y81" s="2">
        <v>0.98301748405703304</v>
      </c>
      <c r="Z81" s="2"/>
      <c r="AA81" s="2">
        <f>Table1[[#This Row],[direct_tax]]*Table1[[#This Row],[kappa]]</f>
        <v>261.62424538020571</v>
      </c>
      <c r="AB81" s="2">
        <f>Table1[[#This Row],[direct_tax]]+Table1[[#This Row],[indirect_cost]]</f>
        <v>527.76828617635772</v>
      </c>
      <c r="AC81" s="3">
        <v>500</v>
      </c>
      <c r="AD81" s="3">
        <v>750</v>
      </c>
      <c r="AE81" s="3">
        <v>1000</v>
      </c>
      <c r="AF81" s="3">
        <v>550</v>
      </c>
      <c r="AG81" s="2">
        <v>825</v>
      </c>
      <c r="AH81" s="3">
        <v>1100</v>
      </c>
      <c r="AI81" s="2">
        <v>27.7682861763593</v>
      </c>
      <c r="AJ81" s="3">
        <v>-222.23171382364001</v>
      </c>
      <c r="AK81" s="3">
        <v>-472.23171382364001</v>
      </c>
      <c r="AL81" s="3">
        <v>-22.2317138236406</v>
      </c>
      <c r="AM81" s="3">
        <v>-297.23171382364001</v>
      </c>
      <c r="AN81" s="3">
        <v>-572.23171382364001</v>
      </c>
      <c r="AO81" s="3">
        <v>4.5451975202143698E-3</v>
      </c>
      <c r="AP81" s="3">
        <v>9.0132061510777694E-3</v>
      </c>
      <c r="AQ81" s="3">
        <v>4.7422570534299901E-4</v>
      </c>
      <c r="AR81" s="3">
        <v>-3.7952645175243901E-3</v>
      </c>
      <c r="AS81" s="3">
        <v>-8.0647547403917795E-3</v>
      </c>
      <c r="AT81" s="3">
        <v>-3.7967233923047802E-4</v>
      </c>
      <c r="AU81" s="3">
        <v>-5.0761115843846096E-3</v>
      </c>
      <c r="AV81" s="3">
        <v>-9.7725508295387307E-3</v>
      </c>
    </row>
    <row r="82" spans="1:48" x14ac:dyDescent="0.2">
      <c r="A82" t="s">
        <v>54</v>
      </c>
      <c r="B82">
        <v>2022</v>
      </c>
      <c r="C82">
        <v>50</v>
      </c>
      <c r="D82" t="s">
        <v>49</v>
      </c>
      <c r="E82" s="3">
        <v>112073</v>
      </c>
      <c r="F82" s="3">
        <v>2152</v>
      </c>
      <c r="G82" s="3">
        <v>804</v>
      </c>
      <c r="H82" s="3">
        <v>42.25</v>
      </c>
      <c r="I82" s="3">
        <v>59894.5</v>
      </c>
      <c r="J82" s="3">
        <v>1.651875</v>
      </c>
      <c r="K82" s="2">
        <v>1.74491666666666</v>
      </c>
      <c r="L82" s="2">
        <v>1302.7620128641599</v>
      </c>
      <c r="M82" s="3">
        <v>24.213190696785901</v>
      </c>
      <c r="N82" s="3">
        <v>8.7825772199999999E-2</v>
      </c>
      <c r="O82" s="3">
        <v>70.611920848799997</v>
      </c>
      <c r="P82" s="2">
        <v>1896.14191055282</v>
      </c>
      <c r="Q82" s="3">
        <v>0.1105</v>
      </c>
      <c r="R82" s="3">
        <v>0.1341</v>
      </c>
      <c r="S82" s="3">
        <v>9.7900000000000001E-2</v>
      </c>
      <c r="T82" s="3">
        <v>2.6289087000000002</v>
      </c>
      <c r="U82" s="2">
        <v>143.95520242148999</v>
      </c>
      <c r="V82" s="2">
        <v>3.2469888724389802</v>
      </c>
      <c r="W82" s="2">
        <v>185.632293043121</v>
      </c>
      <c r="X82" s="2">
        <v>332.83448433705098</v>
      </c>
      <c r="Y82" s="2">
        <v>0.850443269876063</v>
      </c>
      <c r="Z82" s="2"/>
      <c r="AA82" s="2">
        <f>Table1[[#This Row],[direct_tax]]*Table1[[#This Row],[kappa]]</f>
        <v>283.0568471871149</v>
      </c>
      <c r="AB82" s="3">
        <f>Table1[[#This Row],[direct_tax]]+Table1[[#This Row],[indirect_cost]]</f>
        <v>615.89133152416593</v>
      </c>
      <c r="AC82" s="3">
        <v>550</v>
      </c>
      <c r="AD82" s="3">
        <v>825</v>
      </c>
      <c r="AE82" s="3">
        <v>1101</v>
      </c>
      <c r="AF82" s="3">
        <v>605</v>
      </c>
      <c r="AG82" s="2">
        <v>907.5</v>
      </c>
      <c r="AH82" s="2">
        <v>1211.0999999999999</v>
      </c>
      <c r="AI82" s="2">
        <v>65.891331524166901</v>
      </c>
      <c r="AJ82" s="3">
        <v>-209.10866847583301</v>
      </c>
      <c r="AK82" s="3">
        <v>-485.10866847583299</v>
      </c>
      <c r="AL82" s="2">
        <v>10.891331524166899</v>
      </c>
      <c r="AM82" s="3">
        <v>-291.60866847583299</v>
      </c>
      <c r="AN82" s="3">
        <v>-595.20866847583295</v>
      </c>
      <c r="AO82" s="3">
        <v>5.5570124859052397E-3</v>
      </c>
      <c r="AP82" s="2">
        <v>1.02829363551606E-2</v>
      </c>
      <c r="AQ82" s="3">
        <v>1.10012324210348E-3</v>
      </c>
      <c r="AR82" s="3">
        <v>-3.4912833144250801E-3</v>
      </c>
      <c r="AS82" s="3">
        <v>-8.0993858947955594E-3</v>
      </c>
      <c r="AT82" s="3">
        <v>1.8184193079776801E-4</v>
      </c>
      <c r="AU82" s="3">
        <v>-4.86870528138365E-3</v>
      </c>
      <c r="AV82" s="3">
        <v>-9.9376181197911792E-3</v>
      </c>
    </row>
    <row r="83" spans="1:48" x14ac:dyDescent="0.2">
      <c r="A83" t="s">
        <v>54</v>
      </c>
      <c r="B83">
        <v>2023</v>
      </c>
      <c r="C83">
        <v>65</v>
      </c>
      <c r="D83" t="s">
        <v>49</v>
      </c>
      <c r="E83" s="3">
        <v>125575</v>
      </c>
      <c r="F83" s="3">
        <v>2530</v>
      </c>
      <c r="G83" s="3">
        <v>872</v>
      </c>
      <c r="H83" s="3">
        <v>13</v>
      </c>
      <c r="I83" s="3">
        <v>61234</v>
      </c>
      <c r="J83" s="4">
        <v>1.52866666666666</v>
      </c>
      <c r="K83" s="3">
        <v>1.6768749999999999</v>
      </c>
      <c r="L83" s="2">
        <v>1655.03706934147</v>
      </c>
      <c r="M83" s="2">
        <v>7.75251584047707</v>
      </c>
      <c r="N83" s="3">
        <v>8.7825772199999999E-2</v>
      </c>
      <c r="O83" s="3">
        <v>76.584073358400005</v>
      </c>
      <c r="P83" s="2">
        <v>2056.5121218931099</v>
      </c>
      <c r="Q83" s="3">
        <v>0.1431</v>
      </c>
      <c r="R83" s="3">
        <v>0.17380000000000001</v>
      </c>
      <c r="S83" s="3">
        <v>0.1239</v>
      </c>
      <c r="T83" s="3">
        <v>3.3270867000000002</v>
      </c>
      <c r="U83" s="2">
        <v>236.83580462276399</v>
      </c>
      <c r="V83" s="2">
        <v>1.34738725307491</v>
      </c>
      <c r="W83" s="3">
        <v>254.80185190255699</v>
      </c>
      <c r="X83" s="2">
        <v>492.985043778396</v>
      </c>
      <c r="Y83" s="2">
        <v>0.65158194860460905</v>
      </c>
      <c r="Z83" s="2"/>
      <c r="AA83" s="2">
        <f>Table1[[#This Row],[direct_tax]]*Table1[[#This Row],[kappa]]</f>
        <v>321.22015545805579</v>
      </c>
      <c r="AB83" s="2">
        <f>Table1[[#This Row],[direct_tax]]+Table1[[#This Row],[indirect_cost]]</f>
        <v>814.20519923645179</v>
      </c>
      <c r="AC83" s="3">
        <v>680</v>
      </c>
      <c r="AD83" s="3">
        <v>1020</v>
      </c>
      <c r="AE83" s="3">
        <v>1360</v>
      </c>
      <c r="AF83" s="2">
        <v>748</v>
      </c>
      <c r="AG83" s="3">
        <v>1122</v>
      </c>
      <c r="AH83" s="2">
        <v>1496</v>
      </c>
      <c r="AI83" s="2">
        <v>134.20519923645301</v>
      </c>
      <c r="AJ83" s="3">
        <v>-205.79480076354599</v>
      </c>
      <c r="AK83" s="3">
        <v>-545.79480076354605</v>
      </c>
      <c r="AL83" s="2">
        <v>66.205199236453097</v>
      </c>
      <c r="AM83" s="3">
        <v>-307.79480076354599</v>
      </c>
      <c r="AN83" s="3">
        <v>-681.79480076354696</v>
      </c>
      <c r="AO83" s="3">
        <v>8.05083848480251E-3</v>
      </c>
      <c r="AP83" s="2">
        <v>1.32966195126311E-2</v>
      </c>
      <c r="AQ83" s="3">
        <v>2.1916778135750198E-3</v>
      </c>
      <c r="AR83" s="3">
        <v>-3.36079303595301E-3</v>
      </c>
      <c r="AS83" s="3">
        <v>-8.9132638854810507E-3</v>
      </c>
      <c r="AT83" s="3">
        <v>1.08118364366941E-3</v>
      </c>
      <c r="AU83" s="3">
        <v>-5.0265342908114201E-3</v>
      </c>
      <c r="AV83" s="3">
        <v>-1.1134252225292201E-2</v>
      </c>
    </row>
    <row r="84" spans="1:48" x14ac:dyDescent="0.2">
      <c r="A84" t="s">
        <v>54</v>
      </c>
      <c r="B84">
        <v>2024</v>
      </c>
      <c r="C84">
        <v>80</v>
      </c>
      <c r="D84" t="s">
        <v>49</v>
      </c>
      <c r="E84" s="3">
        <v>129613</v>
      </c>
      <c r="F84" s="3">
        <v>2530</v>
      </c>
      <c r="G84" s="3">
        <v>872</v>
      </c>
      <c r="H84" s="3">
        <v>13</v>
      </c>
      <c r="I84" s="3">
        <v>61234</v>
      </c>
      <c r="J84" s="4">
        <v>1.49741666666666</v>
      </c>
      <c r="K84" s="3">
        <v>1.4333750000000001</v>
      </c>
      <c r="L84" s="2">
        <v>1689.5764928487899</v>
      </c>
      <c r="M84" s="2">
        <v>9.0695037934943699</v>
      </c>
      <c r="N84" s="3">
        <v>8.7825772199999999E-2</v>
      </c>
      <c r="O84" s="3">
        <v>76.584073358400005</v>
      </c>
      <c r="P84" s="2">
        <v>2056.5121218931099</v>
      </c>
      <c r="Q84" s="3">
        <v>0.17610000000000001</v>
      </c>
      <c r="R84" s="3">
        <v>0.21390000000000001</v>
      </c>
      <c r="S84" s="3">
        <v>0.1525</v>
      </c>
      <c r="T84" s="3">
        <v>4.0950825000000002</v>
      </c>
      <c r="U84" s="2">
        <v>297.53442039067198</v>
      </c>
      <c r="V84" s="2">
        <v>1.93996686142844</v>
      </c>
      <c r="W84" s="2">
        <v>313.61809858869998</v>
      </c>
      <c r="X84" s="2">
        <v>613.09248584080103</v>
      </c>
      <c r="Y84" s="3">
        <v>0.45272062733315499</v>
      </c>
      <c r="Z84" s="3"/>
      <c r="AA84" s="3">
        <f>Table1[[#This Row],[direct_tax]]*Table1[[#This Row],[kappa]]</f>
        <v>277.55961480309088</v>
      </c>
      <c r="AB84" s="2">
        <f>Table1[[#This Row],[direct_tax]]+Table1[[#This Row],[indirect_cost]]</f>
        <v>890.65210064389191</v>
      </c>
      <c r="AC84" s="3">
        <v>752</v>
      </c>
      <c r="AD84" s="3">
        <v>1128</v>
      </c>
      <c r="AE84" s="3">
        <v>1504</v>
      </c>
      <c r="AF84" s="3">
        <v>902.4</v>
      </c>
      <c r="AG84" s="3">
        <v>1353.6</v>
      </c>
      <c r="AH84" s="3">
        <v>1804.8</v>
      </c>
      <c r="AI84" s="2">
        <v>138.652100643892</v>
      </c>
      <c r="AJ84" s="3">
        <v>-237.34789935610701</v>
      </c>
      <c r="AK84" s="3">
        <v>-613.34789935610695</v>
      </c>
      <c r="AL84" s="3">
        <v>-11.747899356107601</v>
      </c>
      <c r="AM84" s="3">
        <v>-462.94789935610697</v>
      </c>
      <c r="AN84" s="3">
        <v>-914.14789935610702</v>
      </c>
      <c r="AO84" s="2">
        <v>1.0012288693222701E-2</v>
      </c>
      <c r="AP84" s="2">
        <v>1.4545058311459099E-2</v>
      </c>
      <c r="AQ84" s="3">
        <v>2.26429925603247E-3</v>
      </c>
      <c r="AR84" s="3">
        <v>-3.8760802716808901E-3</v>
      </c>
      <c r="AS84" s="3">
        <v>-1.00164597993942E-2</v>
      </c>
      <c r="AT84" s="3">
        <v>-1.91852555052872E-4</v>
      </c>
      <c r="AU84" s="3">
        <v>-7.5603079883088996E-3</v>
      </c>
      <c r="AV84" s="3">
        <v>-1.49287634215649E-2</v>
      </c>
    </row>
    <row r="85" spans="1:48" x14ac:dyDescent="0.2">
      <c r="A85" t="s">
        <v>54</v>
      </c>
      <c r="B85">
        <v>2025</v>
      </c>
      <c r="C85">
        <v>0</v>
      </c>
      <c r="D85" t="s">
        <v>49</v>
      </c>
      <c r="E85" s="3">
        <v>129613</v>
      </c>
      <c r="F85" s="3">
        <v>2530</v>
      </c>
      <c r="G85" s="3">
        <v>872</v>
      </c>
      <c r="H85" s="3">
        <v>13</v>
      </c>
      <c r="I85" s="3">
        <v>61234</v>
      </c>
      <c r="J85" s="4">
        <v>1.37879166666666</v>
      </c>
      <c r="K85" s="2">
        <v>1.2946249999999999</v>
      </c>
      <c r="L85" s="2">
        <v>1834.94001390106</v>
      </c>
      <c r="M85" s="2">
        <v>10.0415178140388</v>
      </c>
      <c r="N85" s="3">
        <v>8.7825772199999999E-2</v>
      </c>
      <c r="O85" s="3">
        <v>76.584073358400005</v>
      </c>
      <c r="P85" s="2">
        <v>2056.5121218931099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/>
      <c r="AA85" s="3">
        <f>Table1[[#This Row],[direct_tax]]*Table1[[#This Row],[kappa]]</f>
        <v>0</v>
      </c>
      <c r="AB85" s="3">
        <f>Table1[[#This Row],[direct_tax]]+Table1[[#This Row],[indirect_cost]]</f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</row>
    <row r="86" spans="1:48" x14ac:dyDescent="0.2">
      <c r="A86" t="s">
        <v>54</v>
      </c>
      <c r="B86">
        <v>2019</v>
      </c>
      <c r="C86">
        <v>20</v>
      </c>
      <c r="D86" t="s">
        <v>50</v>
      </c>
      <c r="E86" s="3">
        <v>99012</v>
      </c>
      <c r="F86" s="3">
        <v>2844</v>
      </c>
      <c r="G86" s="3">
        <v>821</v>
      </c>
      <c r="H86" s="3">
        <v>77</v>
      </c>
      <c r="I86" s="3">
        <v>79056</v>
      </c>
      <c r="J86" s="4">
        <v>1.11154166666666</v>
      </c>
      <c r="K86" s="2">
        <v>1.1245833333333299</v>
      </c>
      <c r="L86" s="2">
        <v>2558.6085391910601</v>
      </c>
      <c r="M86" s="2">
        <v>68.469803630974397</v>
      </c>
      <c r="N86" s="3">
        <v>8.7825772199999999E-2</v>
      </c>
      <c r="O86" s="3">
        <v>72.104958976199995</v>
      </c>
      <c r="P86" s="2">
        <v>1936.2344633878899</v>
      </c>
      <c r="Q86" s="3">
        <v>4.4200000000000003E-2</v>
      </c>
      <c r="R86" s="3">
        <v>5.3699999999999998E-2</v>
      </c>
      <c r="S86" s="3">
        <v>3.9100000000000003E-2</v>
      </c>
      <c r="T86" s="2">
        <v>1.0499522999999999</v>
      </c>
      <c r="U86" s="3">
        <v>113.090497432245</v>
      </c>
      <c r="V86" s="2">
        <v>3.6768284549833199</v>
      </c>
      <c r="W86" s="2">
        <v>75.706767518466805</v>
      </c>
      <c r="X86" s="2">
        <v>192.47409340569499</v>
      </c>
      <c r="Y86" s="2">
        <v>1.2481659124189699</v>
      </c>
      <c r="Z86" s="2"/>
      <c r="AA86" s="2">
        <f>Table1[[#This Row],[direct_tax]]*Table1[[#This Row],[kappa]]</f>
        <v>240.23960241273332</v>
      </c>
      <c r="AB86" s="2">
        <f>Table1[[#This Row],[direct_tax]]+Table1[[#This Row],[indirect_cost]]</f>
        <v>432.71369581842828</v>
      </c>
      <c r="AC86" s="3">
        <v>305</v>
      </c>
      <c r="AD86" s="3">
        <v>457</v>
      </c>
      <c r="AE86" s="3">
        <v>609</v>
      </c>
      <c r="AF86" s="3">
        <v>335.5</v>
      </c>
      <c r="AG86" s="2">
        <v>502.7</v>
      </c>
      <c r="AH86" s="2">
        <v>669.9</v>
      </c>
      <c r="AI86" s="2">
        <v>127.713695818429</v>
      </c>
      <c r="AJ86" s="3">
        <v>-24.286304181570799</v>
      </c>
      <c r="AK86" s="3">
        <v>-176.28630418156999</v>
      </c>
      <c r="AL86" s="2">
        <v>97.213695818429102</v>
      </c>
      <c r="AM86" s="3">
        <v>-69.986304181570901</v>
      </c>
      <c r="AN86" s="3">
        <v>-237.18630418156999</v>
      </c>
      <c r="AO86" s="3">
        <v>2.4346550977243299E-3</v>
      </c>
      <c r="AP86" s="3">
        <v>5.4735085992009304E-3</v>
      </c>
      <c r="AQ86" s="3">
        <v>1.61548390784291E-3</v>
      </c>
      <c r="AR86" s="3">
        <v>-3.0720380719453098E-4</v>
      </c>
      <c r="AS86" s="3">
        <v>-2.2298915222319698E-3</v>
      </c>
      <c r="AT86" s="3">
        <v>1.2296814387071E-3</v>
      </c>
      <c r="AU86" s="3">
        <v>-8.8527504783407799E-4</v>
      </c>
      <c r="AV86" s="3">
        <v>-3.0002315343752601E-3</v>
      </c>
    </row>
    <row r="87" spans="1:48" x14ac:dyDescent="0.2">
      <c r="A87" t="s">
        <v>54</v>
      </c>
      <c r="B87">
        <v>2020</v>
      </c>
      <c r="C87">
        <v>30</v>
      </c>
      <c r="D87" t="s">
        <v>50</v>
      </c>
      <c r="E87" s="3">
        <v>101501</v>
      </c>
      <c r="F87" s="3">
        <v>2712.5</v>
      </c>
      <c r="G87" s="3">
        <v>825.5</v>
      </c>
      <c r="H87" s="3">
        <v>67</v>
      </c>
      <c r="I87" s="3">
        <v>75430</v>
      </c>
      <c r="J87" s="4">
        <v>0.96683333333333299</v>
      </c>
      <c r="K87" s="2">
        <v>0.92245833333333305</v>
      </c>
      <c r="L87" s="2">
        <v>2805.55076710911</v>
      </c>
      <c r="M87" s="2">
        <v>72.632006865712</v>
      </c>
      <c r="N87" s="3">
        <v>8.7825772199999999E-2</v>
      </c>
      <c r="O87" s="2">
        <v>72.500174951099893</v>
      </c>
      <c r="P87" s="2">
        <v>1946.8471979618801</v>
      </c>
      <c r="Q87" s="3">
        <v>6.6299999999999998E-2</v>
      </c>
      <c r="R87" s="3">
        <v>8.0500000000000002E-2</v>
      </c>
      <c r="S87" s="3">
        <v>5.8700000000000002E-2</v>
      </c>
      <c r="T87" s="2">
        <v>1.5762711</v>
      </c>
      <c r="U87" s="2">
        <v>186.00801585933399</v>
      </c>
      <c r="V87" s="2">
        <v>5.8468765526898201</v>
      </c>
      <c r="W87" s="2">
        <v>114.279930520362</v>
      </c>
      <c r="X87" s="2">
        <v>306.13482293238701</v>
      </c>
      <c r="Y87" s="2">
        <v>1.1155916982380001</v>
      </c>
      <c r="Z87" s="2"/>
      <c r="AA87" s="2">
        <f>Table1[[#This Row],[direct_tax]]*Table1[[#This Row],[kappa]]</f>
        <v>341.52146700493108</v>
      </c>
      <c r="AB87" s="2">
        <f>Table1[[#This Row],[direct_tax]]+Table1[[#This Row],[indirect_cost]]</f>
        <v>647.65628993731809</v>
      </c>
      <c r="AC87" s="3">
        <v>405</v>
      </c>
      <c r="AD87" s="3">
        <v>607</v>
      </c>
      <c r="AE87" s="3">
        <v>809</v>
      </c>
      <c r="AF87" s="2">
        <v>445.5</v>
      </c>
      <c r="AG87" s="3">
        <v>667.7</v>
      </c>
      <c r="AH87" s="2">
        <v>889.9</v>
      </c>
      <c r="AI87" s="2">
        <v>242.656289937319</v>
      </c>
      <c r="AJ87" s="2">
        <v>40.656289937319301</v>
      </c>
      <c r="AK87" s="3">
        <v>-161.34371006268</v>
      </c>
      <c r="AL87" s="2">
        <v>202.156289937319</v>
      </c>
      <c r="AM87" s="3">
        <v>-20.043710062680699</v>
      </c>
      <c r="AN87" s="3">
        <v>-242.24371006268001</v>
      </c>
      <c r="AO87" s="3">
        <v>4.0585287409835198E-3</v>
      </c>
      <c r="AP87" s="3">
        <v>8.5861897114850698E-3</v>
      </c>
      <c r="AQ87" s="3">
        <v>3.2169732193731799E-3</v>
      </c>
      <c r="AR87" s="3">
        <v>5.3899363565317905E-4</v>
      </c>
      <c r="AS87" s="3">
        <v>-2.1389859480668199E-3</v>
      </c>
      <c r="AT87" s="3">
        <v>2.6800515701619898E-3</v>
      </c>
      <c r="AU87" s="3">
        <v>-2.6572597193001002E-4</v>
      </c>
      <c r="AV87" s="3">
        <v>-3.21150351402201E-3</v>
      </c>
    </row>
    <row r="88" spans="1:48" x14ac:dyDescent="0.2">
      <c r="A88" t="s">
        <v>54</v>
      </c>
      <c r="B88">
        <v>2021</v>
      </c>
      <c r="C88">
        <v>40</v>
      </c>
      <c r="D88" t="s">
        <v>50</v>
      </c>
      <c r="E88" s="3">
        <v>116773</v>
      </c>
      <c r="F88" s="3">
        <v>2581</v>
      </c>
      <c r="G88" s="3">
        <v>830</v>
      </c>
      <c r="H88" s="3">
        <v>57</v>
      </c>
      <c r="I88" s="3">
        <v>71804</v>
      </c>
      <c r="J88" s="4">
        <v>1.2702499999999901</v>
      </c>
      <c r="K88" s="3">
        <v>1.13225</v>
      </c>
      <c r="L88" s="2">
        <v>2031.88348750246</v>
      </c>
      <c r="M88" s="2">
        <v>50.342238904835497</v>
      </c>
      <c r="N88" s="3">
        <v>8.7825772199999999E-2</v>
      </c>
      <c r="O88" s="3">
        <v>72.895390926000005</v>
      </c>
      <c r="P88" s="2">
        <v>1957.4599325358699</v>
      </c>
      <c r="Q88" s="3">
        <v>8.8400000000000006E-2</v>
      </c>
      <c r="R88" s="3">
        <v>0.10730000000000001</v>
      </c>
      <c r="S88" s="3">
        <v>7.8299999999999995E-2</v>
      </c>
      <c r="T88" s="3">
        <v>2.1025898999999999</v>
      </c>
      <c r="U88" s="2">
        <v>179.61850029521699</v>
      </c>
      <c r="V88" s="3">
        <v>5.40172223448885</v>
      </c>
      <c r="W88" s="2">
        <v>153.26911271755901</v>
      </c>
      <c r="X88" s="2">
        <v>338.289335247265</v>
      </c>
      <c r="Y88" s="2">
        <v>0.98301748405703304</v>
      </c>
      <c r="Z88" s="2"/>
      <c r="AA88" s="2">
        <f>Table1[[#This Row],[direct_tax]]*Table1[[#This Row],[kappa]]</f>
        <v>332.54433121809262</v>
      </c>
      <c r="AB88" s="2">
        <f>Table1[[#This Row],[direct_tax]]+Table1[[#This Row],[indirect_cost]]</f>
        <v>670.83366646535762</v>
      </c>
      <c r="AC88" s="3">
        <v>500</v>
      </c>
      <c r="AD88" s="3">
        <v>750</v>
      </c>
      <c r="AE88" s="3">
        <v>1000</v>
      </c>
      <c r="AF88" s="3">
        <v>550</v>
      </c>
      <c r="AG88" s="2">
        <v>825</v>
      </c>
      <c r="AH88" s="3">
        <v>1100</v>
      </c>
      <c r="AI88" s="2">
        <v>170.83366646535799</v>
      </c>
      <c r="AJ88" s="3">
        <v>-79.166333534641097</v>
      </c>
      <c r="AK88" s="3">
        <v>-329.16633353464101</v>
      </c>
      <c r="AL88" s="2">
        <v>120.83366646535799</v>
      </c>
      <c r="AM88" s="3">
        <v>-154.16633353464101</v>
      </c>
      <c r="AN88" s="3">
        <v>-429.16633353464101</v>
      </c>
      <c r="AO88" s="3">
        <v>4.7112881628776299E-3</v>
      </c>
      <c r="AP88" s="3">
        <v>9.3425667994172807E-3</v>
      </c>
      <c r="AQ88" s="3">
        <v>2.37916643174974E-3</v>
      </c>
      <c r="AR88" s="3">
        <v>-1.10253375208402E-3</v>
      </c>
      <c r="AS88" s="3">
        <v>-4.5842339359177904E-3</v>
      </c>
      <c r="AT88" s="3">
        <v>1.68282639498299E-3</v>
      </c>
      <c r="AU88" s="3">
        <v>-2.1470438072341501E-3</v>
      </c>
      <c r="AV88" s="3">
        <v>-5.9769140094512998E-3</v>
      </c>
    </row>
    <row r="89" spans="1:48" x14ac:dyDescent="0.2">
      <c r="A89" t="s">
        <v>54</v>
      </c>
      <c r="B89">
        <v>2022</v>
      </c>
      <c r="C89">
        <v>50</v>
      </c>
      <c r="D89" t="s">
        <v>50</v>
      </c>
      <c r="E89" s="3">
        <v>114251</v>
      </c>
      <c r="F89" s="3">
        <v>2954</v>
      </c>
      <c r="G89" s="3">
        <v>826</v>
      </c>
      <c r="H89" s="3">
        <v>47</v>
      </c>
      <c r="I89" s="3">
        <v>74597.5</v>
      </c>
      <c r="J89" s="3">
        <v>1.651875</v>
      </c>
      <c r="K89" s="2">
        <v>1.74491666666666</v>
      </c>
      <c r="L89" s="2">
        <v>1788.27090427544</v>
      </c>
      <c r="M89" s="2">
        <v>26.935383733702601</v>
      </c>
      <c r="N89" s="3">
        <v>8.7825772199999999E-2</v>
      </c>
      <c r="O89" s="3">
        <v>72.544087837199996</v>
      </c>
      <c r="P89" s="2">
        <v>1948.0263906923301</v>
      </c>
      <c r="Q89" s="3">
        <v>0.1105</v>
      </c>
      <c r="R89" s="3">
        <v>0.1341</v>
      </c>
      <c r="S89" s="3">
        <v>9.7900000000000001E-2</v>
      </c>
      <c r="T89" s="3">
        <v>2.6289087000000002</v>
      </c>
      <c r="U89" s="2">
        <v>197.603934922436</v>
      </c>
      <c r="V89" s="2">
        <v>3.6120349586895202</v>
      </c>
      <c r="W89" s="2">
        <v>190.711783648779</v>
      </c>
      <c r="X89" s="2">
        <v>391.92775352990498</v>
      </c>
      <c r="Y89" s="2">
        <v>0.850443269876063</v>
      </c>
      <c r="Z89" s="2"/>
      <c r="AA89" s="2">
        <f>Table1[[#This Row],[direct_tax]]*Table1[[#This Row],[kappa]]</f>
        <v>333.31232026715207</v>
      </c>
      <c r="AB89" s="2">
        <f>Table1[[#This Row],[direct_tax]]+Table1[[#This Row],[indirect_cost]]</f>
        <v>725.24007379705699</v>
      </c>
      <c r="AC89" s="3">
        <v>550</v>
      </c>
      <c r="AD89" s="3">
        <v>825</v>
      </c>
      <c r="AE89" s="3">
        <v>1101</v>
      </c>
      <c r="AF89" s="3">
        <v>605</v>
      </c>
      <c r="AG89" s="2">
        <v>907.5</v>
      </c>
      <c r="AH89" s="2">
        <v>1211.0999999999999</v>
      </c>
      <c r="AI89" s="2">
        <v>175.24007379705799</v>
      </c>
      <c r="AJ89" s="3">
        <v>-99.759926202941799</v>
      </c>
      <c r="AK89" s="3">
        <v>-375.75992620294102</v>
      </c>
      <c r="AL89" s="2">
        <v>120.240073797058</v>
      </c>
      <c r="AM89" s="3">
        <v>-182.25992620294099</v>
      </c>
      <c r="AN89" s="3">
        <v>-485.85992620294201</v>
      </c>
      <c r="AO89" s="3">
        <v>5.2538993066779099E-3</v>
      </c>
      <c r="AP89" s="3">
        <v>9.7220426126486507E-3</v>
      </c>
      <c r="AQ89" s="3">
        <v>2.34914137601203E-3</v>
      </c>
      <c r="AR89" s="3">
        <v>-1.33730924230626E-3</v>
      </c>
      <c r="AS89" s="3">
        <v>-5.0371651356002798E-3</v>
      </c>
      <c r="AT89" s="3">
        <v>1.6118512523483699E-3</v>
      </c>
      <c r="AU89" s="3">
        <v>-2.44324442780176E-3</v>
      </c>
      <c r="AV89" s="3">
        <v>-6.5130859104251702E-3</v>
      </c>
    </row>
    <row r="90" spans="1:48" x14ac:dyDescent="0.2">
      <c r="A90" t="s">
        <v>54</v>
      </c>
      <c r="B90">
        <v>2023</v>
      </c>
      <c r="C90">
        <v>65</v>
      </c>
      <c r="D90" t="s">
        <v>50</v>
      </c>
      <c r="E90" s="3">
        <v>115475</v>
      </c>
      <c r="F90" s="3">
        <v>3327</v>
      </c>
      <c r="G90" s="3">
        <v>822</v>
      </c>
      <c r="H90" s="3">
        <v>37</v>
      </c>
      <c r="I90" s="3">
        <v>77391</v>
      </c>
      <c r="J90" s="4">
        <v>1.52866666666666</v>
      </c>
      <c r="K90" s="3">
        <v>1.6768749999999999</v>
      </c>
      <c r="L90" s="2">
        <v>2176.4064544265102</v>
      </c>
      <c r="M90" s="2">
        <v>22.064852776742399</v>
      </c>
      <c r="N90" s="3">
        <v>8.7825772199999999E-2</v>
      </c>
      <c r="O90" s="3">
        <v>72.192784748400001</v>
      </c>
      <c r="P90" s="2">
        <v>1938.59284884878</v>
      </c>
      <c r="Q90" s="3">
        <v>0.1431</v>
      </c>
      <c r="R90" s="3">
        <v>0.17380000000000001</v>
      </c>
      <c r="S90" s="3">
        <v>0.1239</v>
      </c>
      <c r="T90" s="3">
        <v>3.3270867000000002</v>
      </c>
      <c r="U90" s="2">
        <v>311.443763628434</v>
      </c>
      <c r="V90" s="2">
        <v>3.8348714125978298</v>
      </c>
      <c r="W90" s="2">
        <v>240.19165397236401</v>
      </c>
      <c r="X90" s="2">
        <v>555.47028901339604</v>
      </c>
      <c r="Y90" s="2">
        <v>0.65158194860460905</v>
      </c>
      <c r="Z90" s="2"/>
      <c r="AA90" s="2">
        <f>Table1[[#This Row],[direct_tax]]*Table1[[#This Row],[kappa]]</f>
        <v>361.93441330731395</v>
      </c>
      <c r="AB90" s="2">
        <f>Table1[[#This Row],[direct_tax]]+Table1[[#This Row],[indirect_cost]]</f>
        <v>917.40470232070993</v>
      </c>
      <c r="AC90" s="3">
        <v>680</v>
      </c>
      <c r="AD90" s="3">
        <v>1020</v>
      </c>
      <c r="AE90" s="3">
        <v>1360</v>
      </c>
      <c r="AF90" s="2">
        <v>748</v>
      </c>
      <c r="AG90" s="3">
        <v>1122</v>
      </c>
      <c r="AH90" s="2">
        <v>1496</v>
      </c>
      <c r="AI90" s="2">
        <v>237.40470232071101</v>
      </c>
      <c r="AJ90" s="3">
        <v>-102.595297679288</v>
      </c>
      <c r="AK90" s="3">
        <v>-442.59529767928802</v>
      </c>
      <c r="AL90" s="2">
        <v>169.40470232071101</v>
      </c>
      <c r="AM90" s="3">
        <v>-204.595297679288</v>
      </c>
      <c r="AN90" s="3">
        <v>-578.59529767928802</v>
      </c>
      <c r="AO90" s="3">
        <v>7.1774533086973501E-3</v>
      </c>
      <c r="AP90" s="2">
        <v>1.18541523215969E-2</v>
      </c>
      <c r="AQ90" s="3">
        <v>3.06760091381053E-3</v>
      </c>
      <c r="AR90" s="3">
        <v>-1.32567479008268E-3</v>
      </c>
      <c r="AS90" s="3">
        <v>-5.7189504939758901E-3</v>
      </c>
      <c r="AT90" s="3">
        <v>2.1889457730318901E-3</v>
      </c>
      <c r="AU90" s="3">
        <v>-2.6436575012506402E-3</v>
      </c>
      <c r="AV90" s="3">
        <v>-7.4762607755331804E-3</v>
      </c>
    </row>
    <row r="91" spans="1:48" x14ac:dyDescent="0.2">
      <c r="A91" t="s">
        <v>54</v>
      </c>
      <c r="B91">
        <v>2024</v>
      </c>
      <c r="C91">
        <v>80</v>
      </c>
      <c r="D91" t="s">
        <v>50</v>
      </c>
      <c r="E91" s="3">
        <v>117896</v>
      </c>
      <c r="F91" s="3">
        <v>3327</v>
      </c>
      <c r="G91" s="3">
        <v>822</v>
      </c>
      <c r="H91" s="3">
        <v>37</v>
      </c>
      <c r="I91" s="3">
        <v>77391</v>
      </c>
      <c r="J91" s="4">
        <v>1.49741666666666</v>
      </c>
      <c r="K91" s="3">
        <v>1.4333750000000001</v>
      </c>
      <c r="L91" s="2">
        <v>2221.82647893594</v>
      </c>
      <c r="M91" s="2">
        <v>25.813203104560898</v>
      </c>
      <c r="N91" s="3">
        <v>8.7825772199999999E-2</v>
      </c>
      <c r="O91" s="3">
        <v>72.192784748400001</v>
      </c>
      <c r="P91" s="2">
        <v>1938.59284884878</v>
      </c>
      <c r="Q91" s="3">
        <v>0.17610000000000001</v>
      </c>
      <c r="R91" s="3">
        <v>0.21390000000000001</v>
      </c>
      <c r="S91" s="3">
        <v>0.1525</v>
      </c>
      <c r="T91" s="3">
        <v>4.0950825000000002</v>
      </c>
      <c r="U91" s="2">
        <v>391.26364294061898</v>
      </c>
      <c r="V91" s="3">
        <v>5.5214441440655797</v>
      </c>
      <c r="W91" s="2">
        <v>295.63540944943901</v>
      </c>
      <c r="X91" s="2">
        <v>692.42049653412505</v>
      </c>
      <c r="Y91" s="3">
        <v>0.45272062733315499</v>
      </c>
      <c r="Z91" s="3"/>
      <c r="AA91" s="2">
        <f>Table1[[#This Row],[direct_tax]]*Table1[[#This Row],[kappa]]</f>
        <v>313.47304156926378</v>
      </c>
      <c r="AB91" s="2">
        <f>Table1[[#This Row],[direct_tax]]+Table1[[#This Row],[indirect_cost]]</f>
        <v>1005.8935381033889</v>
      </c>
      <c r="AC91" s="3">
        <v>752</v>
      </c>
      <c r="AD91" s="3">
        <v>1128</v>
      </c>
      <c r="AE91" s="3">
        <v>1504</v>
      </c>
      <c r="AF91" s="3">
        <v>902.4</v>
      </c>
      <c r="AG91" s="3">
        <v>1353.6</v>
      </c>
      <c r="AH91" s="3">
        <v>1804.8</v>
      </c>
      <c r="AI91" s="2">
        <v>253.89353810338901</v>
      </c>
      <c r="AJ91" s="3">
        <v>-122.10646189661</v>
      </c>
      <c r="AK91" s="3">
        <v>-498.10646189661003</v>
      </c>
      <c r="AL91" s="2">
        <v>103.493538103389</v>
      </c>
      <c r="AM91" s="3">
        <v>-347.70646189660999</v>
      </c>
      <c r="AN91" s="3">
        <v>-798.90646189661004</v>
      </c>
      <c r="AO91" s="3">
        <v>8.9470416008854397E-3</v>
      </c>
      <c r="AP91" s="2">
        <v>1.29975518872141E-2</v>
      </c>
      <c r="AQ91" s="3">
        <v>3.28065974213266E-3</v>
      </c>
      <c r="AR91" s="3">
        <v>-1.5777863304080599E-3</v>
      </c>
      <c r="AS91" s="3">
        <v>-6.4362324029488003E-3</v>
      </c>
      <c r="AT91" s="3">
        <v>1.3372813131163699E-3</v>
      </c>
      <c r="AU91" s="3">
        <v>-4.4928539739325004E-3</v>
      </c>
      <c r="AV91" s="3">
        <v>-1.03229892609813E-2</v>
      </c>
    </row>
    <row r="92" spans="1:48" x14ac:dyDescent="0.2">
      <c r="A92" t="s">
        <v>54</v>
      </c>
      <c r="B92">
        <v>2025</v>
      </c>
      <c r="C92">
        <v>0</v>
      </c>
      <c r="D92" t="s">
        <v>50</v>
      </c>
      <c r="E92" s="3">
        <v>117896</v>
      </c>
      <c r="F92" s="3">
        <v>3327</v>
      </c>
      <c r="G92" s="3">
        <v>822</v>
      </c>
      <c r="H92" s="3">
        <v>37</v>
      </c>
      <c r="I92" s="3">
        <v>77391</v>
      </c>
      <c r="J92" s="4">
        <v>1.37879166666666</v>
      </c>
      <c r="K92" s="2">
        <v>1.2946249999999999</v>
      </c>
      <c r="L92" s="2">
        <v>2412.9823819165299</v>
      </c>
      <c r="M92" s="2">
        <v>28.579704547648898</v>
      </c>
      <c r="N92" s="3">
        <v>8.7825772199999999E-2</v>
      </c>
      <c r="O92" s="3">
        <v>72.192784748400001</v>
      </c>
      <c r="P92" s="5">
        <v>1938.59284884878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/>
      <c r="AA92" s="3">
        <f>Table1[[#This Row],[direct_tax]]*Table1[[#This Row],[kappa]]</f>
        <v>0</v>
      </c>
      <c r="AB92" s="3">
        <f>Table1[[#This Row],[direct_tax]]+Table1[[#This Row],[indirect_cost]]</f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</row>
    <row r="93" spans="1:48" x14ac:dyDescent="0.2">
      <c r="A93" t="s">
        <v>54</v>
      </c>
      <c r="B93">
        <v>2019</v>
      </c>
      <c r="C93">
        <v>20</v>
      </c>
      <c r="D93" t="s">
        <v>51</v>
      </c>
      <c r="E93" s="3">
        <v>112092</v>
      </c>
      <c r="F93" s="3">
        <v>3868</v>
      </c>
      <c r="G93" s="3">
        <v>1059</v>
      </c>
      <c r="H93" s="3">
        <v>118</v>
      </c>
      <c r="I93" s="3">
        <v>117870</v>
      </c>
      <c r="J93" s="4">
        <v>1.11154166666666</v>
      </c>
      <c r="K93" s="2">
        <v>1.1245833333333299</v>
      </c>
      <c r="L93" s="2">
        <v>3479.8515575214601</v>
      </c>
      <c r="M93" s="2">
        <v>104.92775101889499</v>
      </c>
      <c r="N93" s="3">
        <v>8.7825772199999999E-2</v>
      </c>
      <c r="O93" s="3">
        <v>93.007492759800002</v>
      </c>
      <c r="P93" s="2">
        <v>2497.5302030788998</v>
      </c>
      <c r="Q93" s="3">
        <v>4.4200000000000003E-2</v>
      </c>
      <c r="R93" s="3">
        <v>5.3699999999999998E-2</v>
      </c>
      <c r="S93" s="3">
        <v>3.9100000000000003E-2</v>
      </c>
      <c r="T93" s="2">
        <v>1.0499522999999999</v>
      </c>
      <c r="U93" s="2">
        <v>153.809438842448</v>
      </c>
      <c r="V93" s="2">
        <v>5.6346202297146997</v>
      </c>
      <c r="W93" s="2">
        <v>97.653430940385306</v>
      </c>
      <c r="X93" s="2">
        <v>257.09749001254801</v>
      </c>
      <c r="Y93" s="2">
        <v>1.2481659124189699</v>
      </c>
      <c r="Z93" s="2"/>
      <c r="AA93" s="2">
        <f>Table1[[#This Row],[direct_tax]]*Table1[[#This Row],[kappa]]</f>
        <v>320.90032320213896</v>
      </c>
      <c r="AB93" s="3">
        <f>Table1[[#This Row],[direct_tax]]+Table1[[#This Row],[indirect_cost]]</f>
        <v>577.99781321468697</v>
      </c>
      <c r="AC93" s="3">
        <v>305</v>
      </c>
      <c r="AD93" s="3">
        <v>457</v>
      </c>
      <c r="AE93" s="3">
        <v>609</v>
      </c>
      <c r="AF93" s="3">
        <v>335.5</v>
      </c>
      <c r="AG93" s="2">
        <v>502.7</v>
      </c>
      <c r="AH93" s="2">
        <v>669.9</v>
      </c>
      <c r="AI93" s="3">
        <v>272.99781321468902</v>
      </c>
      <c r="AJ93" s="2">
        <v>120.997813214689</v>
      </c>
      <c r="AK93" s="3">
        <v>-31.002186785310901</v>
      </c>
      <c r="AL93" s="2">
        <v>242.49781321468899</v>
      </c>
      <c r="AM93" s="2">
        <v>75.297813214688901</v>
      </c>
      <c r="AN93" s="3">
        <v>-91.902186785311002</v>
      </c>
      <c r="AO93" s="3">
        <v>2.1811953000131301E-3</v>
      </c>
      <c r="AP93" s="3">
        <v>4.9036889218180097E-3</v>
      </c>
      <c r="AQ93" s="3">
        <v>2.3160924171942701E-3</v>
      </c>
      <c r="AR93" s="3">
        <v>1.0265361263653899E-3</v>
      </c>
      <c r="AS93" s="3">
        <v>-2.6302016446348503E-4</v>
      </c>
      <c r="AT93" s="3">
        <v>2.05733276673189E-3</v>
      </c>
      <c r="AU93" s="3">
        <v>6.3882084682013204E-4</v>
      </c>
      <c r="AV93" s="3">
        <v>-7.7969107309163496E-4</v>
      </c>
    </row>
    <row r="94" spans="1:48" x14ac:dyDescent="0.2">
      <c r="A94" t="s">
        <v>54</v>
      </c>
      <c r="B94">
        <v>2020</v>
      </c>
      <c r="C94">
        <v>30</v>
      </c>
      <c r="D94" t="s">
        <v>51</v>
      </c>
      <c r="E94" s="3">
        <v>97553</v>
      </c>
      <c r="F94" s="3">
        <v>3520</v>
      </c>
      <c r="G94" s="3">
        <v>1042.5</v>
      </c>
      <c r="H94" s="3">
        <v>86.5</v>
      </c>
      <c r="I94" s="3">
        <v>113386.5</v>
      </c>
      <c r="J94" s="4">
        <v>0.96683333333333299</v>
      </c>
      <c r="K94" s="2">
        <v>0.92245833333333305</v>
      </c>
      <c r="L94" s="2">
        <v>3640.7515945526602</v>
      </c>
      <c r="M94" s="3">
        <v>93.771173043046204</v>
      </c>
      <c r="N94" s="3">
        <v>8.7825772199999999E-2</v>
      </c>
      <c r="O94" s="3">
        <v>91.558367518500006</v>
      </c>
      <c r="P94" s="2">
        <v>2458.6168429742802</v>
      </c>
      <c r="Q94" s="3">
        <v>6.6299999999999998E-2</v>
      </c>
      <c r="R94" s="3">
        <v>8.0500000000000002E-2</v>
      </c>
      <c r="S94" s="3">
        <v>5.8700000000000002E-2</v>
      </c>
      <c r="T94" s="2">
        <v>1.5762711</v>
      </c>
      <c r="U94" s="2">
        <v>241.381830718841</v>
      </c>
      <c r="V94" s="3">
        <v>7.54857942996522</v>
      </c>
      <c r="W94" s="2">
        <v>144.32080868259001</v>
      </c>
      <c r="X94" s="2">
        <v>393.25121883139701</v>
      </c>
      <c r="Y94" s="2">
        <v>1.1155916982380001</v>
      </c>
      <c r="Z94" s="2"/>
      <c r="AA94" s="2">
        <f>Table1[[#This Row],[direct_tax]]*Table1[[#This Row],[kappa]]</f>
        <v>438.70779505028162</v>
      </c>
      <c r="AB94" s="2">
        <f>Table1[[#This Row],[direct_tax]]+Table1[[#This Row],[indirect_cost]]</f>
        <v>831.95901388167863</v>
      </c>
      <c r="AC94" s="3">
        <v>405</v>
      </c>
      <c r="AD94" s="3">
        <v>607</v>
      </c>
      <c r="AE94" s="3">
        <v>809</v>
      </c>
      <c r="AF94" s="2">
        <v>445.5</v>
      </c>
      <c r="AG94" s="3">
        <v>667.7</v>
      </c>
      <c r="AH94" s="2">
        <v>889.9</v>
      </c>
      <c r="AI94" s="2">
        <v>426.95901388167903</v>
      </c>
      <c r="AJ94" s="2">
        <v>224.959013881679</v>
      </c>
      <c r="AK94" s="2">
        <v>22.959013881679699</v>
      </c>
      <c r="AL94" s="2">
        <v>386.45901388167903</v>
      </c>
      <c r="AM94" s="2">
        <v>164.25901388167901</v>
      </c>
      <c r="AN94" s="3">
        <v>-57.940986118320303</v>
      </c>
      <c r="AO94" s="3">
        <v>3.4682366845382498E-3</v>
      </c>
      <c r="AP94" s="3">
        <v>7.3373727373336299E-3</v>
      </c>
      <c r="AQ94" s="3">
        <v>3.7655189452155198E-3</v>
      </c>
      <c r="AR94" s="3">
        <v>1.9840017451961101E-3</v>
      </c>
      <c r="AS94" s="3">
        <v>2.0248454517671601E-4</v>
      </c>
      <c r="AT94" s="3">
        <v>3.40833356600371E-3</v>
      </c>
      <c r="AU94" s="3">
        <v>1.4486646459823599E-3</v>
      </c>
      <c r="AV94" s="3">
        <v>-5.1100427403897501E-4</v>
      </c>
    </row>
    <row r="95" spans="1:48" x14ac:dyDescent="0.2">
      <c r="A95" t="s">
        <v>54</v>
      </c>
      <c r="B95">
        <v>2021</v>
      </c>
      <c r="C95">
        <v>40</v>
      </c>
      <c r="D95" t="s">
        <v>51</v>
      </c>
      <c r="E95" s="3">
        <v>96090</v>
      </c>
      <c r="F95" s="3">
        <v>3172</v>
      </c>
      <c r="G95" s="3">
        <v>1026</v>
      </c>
      <c r="H95" s="3">
        <v>55</v>
      </c>
      <c r="I95" s="3">
        <v>108903</v>
      </c>
      <c r="J95" s="4">
        <v>1.2702499999999901</v>
      </c>
      <c r="K95" s="3">
        <v>1.13225</v>
      </c>
      <c r="L95" s="2">
        <v>2497.14623105687</v>
      </c>
      <c r="M95" s="2">
        <v>48.575844557297401</v>
      </c>
      <c r="N95" s="3">
        <v>8.7825772199999999E-2</v>
      </c>
      <c r="O95" s="3">
        <v>90.109242277199996</v>
      </c>
      <c r="P95" s="2">
        <v>2419.7034828696501</v>
      </c>
      <c r="Q95" s="3">
        <v>8.8400000000000006E-2</v>
      </c>
      <c r="R95" s="3">
        <v>0.10730000000000001</v>
      </c>
      <c r="S95" s="3">
        <v>7.8299999999999995E-2</v>
      </c>
      <c r="T95" s="3">
        <v>2.1025898999999999</v>
      </c>
      <c r="U95" s="2">
        <v>220.747726825428</v>
      </c>
      <c r="V95" s="2">
        <v>5.2121881209980101</v>
      </c>
      <c r="W95" s="2">
        <v>189.462782708693</v>
      </c>
      <c r="X95" s="2">
        <v>415.42269765511901</v>
      </c>
      <c r="Y95" s="2">
        <v>0.98301748405703304</v>
      </c>
      <c r="Z95" s="2"/>
      <c r="AA95" s="2">
        <f>Table1[[#This Row],[direct_tax]]*Table1[[#This Row],[kappa]]</f>
        <v>408.36777506912063</v>
      </c>
      <c r="AB95" s="2">
        <f>Table1[[#This Row],[direct_tax]]+Table1[[#This Row],[indirect_cost]]</f>
        <v>823.79047272423963</v>
      </c>
      <c r="AC95" s="3">
        <v>500</v>
      </c>
      <c r="AD95" s="3">
        <v>750</v>
      </c>
      <c r="AE95" s="3">
        <v>1000</v>
      </c>
      <c r="AF95" s="3">
        <v>550</v>
      </c>
      <c r="AG95" s="2">
        <v>825</v>
      </c>
      <c r="AH95" s="3">
        <v>1100</v>
      </c>
      <c r="AI95" s="2">
        <v>323.790472724241</v>
      </c>
      <c r="AJ95" s="2">
        <v>73.790472724241198</v>
      </c>
      <c r="AK95" s="3">
        <v>-176.20952727575801</v>
      </c>
      <c r="AL95" s="2">
        <v>273.790472724241</v>
      </c>
      <c r="AM95" s="3">
        <v>-1.20952727575888</v>
      </c>
      <c r="AN95" s="3">
        <v>-276.20952727575798</v>
      </c>
      <c r="AO95" s="3">
        <v>3.8146120644529501E-3</v>
      </c>
      <c r="AP95" s="3">
        <v>7.5644424187050899E-3</v>
      </c>
      <c r="AQ95" s="3">
        <v>2.9732006714621299E-3</v>
      </c>
      <c r="AR95" s="3">
        <v>6.77579797840658E-4</v>
      </c>
      <c r="AS95" s="3">
        <v>-1.61804107578082E-3</v>
      </c>
      <c r="AT95" s="3">
        <v>2.5140764967378402E-3</v>
      </c>
      <c r="AU95" s="3">
        <v>-1.1106464245786501E-5</v>
      </c>
      <c r="AV95" s="3">
        <v>-2.53628942522941E-3</v>
      </c>
    </row>
    <row r="96" spans="1:48" x14ac:dyDescent="0.2">
      <c r="A96" t="s">
        <v>54</v>
      </c>
      <c r="B96">
        <v>2022</v>
      </c>
      <c r="C96">
        <v>50</v>
      </c>
      <c r="D96" t="s">
        <v>51</v>
      </c>
      <c r="E96" s="3">
        <v>97800</v>
      </c>
      <c r="F96" s="3">
        <v>3785.5</v>
      </c>
      <c r="G96" s="3">
        <v>1012.5</v>
      </c>
      <c r="H96" s="3">
        <v>55</v>
      </c>
      <c r="I96" s="3">
        <v>110678.5</v>
      </c>
      <c r="J96" s="3">
        <v>1.651875</v>
      </c>
      <c r="K96" s="2">
        <v>1.74491666666666</v>
      </c>
      <c r="L96" s="2">
        <v>2291.63828982217</v>
      </c>
      <c r="M96" s="2">
        <v>31.520129901141399</v>
      </c>
      <c r="N96" s="3">
        <v>8.7825772199999999E-2</v>
      </c>
      <c r="O96" s="3">
        <v>88.923594352500004</v>
      </c>
      <c r="P96" s="2">
        <v>2387.8652791476802</v>
      </c>
      <c r="Q96" s="3">
        <v>0.1105</v>
      </c>
      <c r="R96" s="3">
        <v>0.1341</v>
      </c>
      <c r="S96" s="3">
        <v>9.7900000000000001E-2</v>
      </c>
      <c r="T96" s="3">
        <v>2.6289087000000002</v>
      </c>
      <c r="U96" s="2">
        <v>253.22603102534899</v>
      </c>
      <c r="V96" s="2">
        <v>4.2268494197430604</v>
      </c>
      <c r="W96" s="2">
        <v>233.772010828558</v>
      </c>
      <c r="X96" s="2">
        <v>491.224891273651</v>
      </c>
      <c r="Y96" s="2">
        <v>0.850443269876063</v>
      </c>
      <c r="Z96" s="2"/>
      <c r="AA96" s="2">
        <f>Table1[[#This Row],[direct_tax]]*Table1[[#This Row],[kappa]]</f>
        <v>417.75890277927726</v>
      </c>
      <c r="AB96" s="2">
        <f>Table1[[#This Row],[direct_tax]]+Table1[[#This Row],[indirect_cost]]</f>
        <v>908.98379405292826</v>
      </c>
      <c r="AC96" s="3">
        <v>550</v>
      </c>
      <c r="AD96" s="3">
        <v>825</v>
      </c>
      <c r="AE96" s="3">
        <v>1101</v>
      </c>
      <c r="AF96" s="3">
        <v>605</v>
      </c>
      <c r="AG96" s="2">
        <v>907.5</v>
      </c>
      <c r="AH96" s="2">
        <v>1211.0999999999999</v>
      </c>
      <c r="AI96" s="2">
        <v>358.98379405292798</v>
      </c>
      <c r="AJ96" s="2">
        <v>83.9837940529289</v>
      </c>
      <c r="AK96" s="3">
        <v>-192.016205947071</v>
      </c>
      <c r="AL96" s="2">
        <v>303.98379405292798</v>
      </c>
      <c r="AM96" s="2">
        <v>1.4837940529288201</v>
      </c>
      <c r="AN96" s="3">
        <v>-302.11620594707102</v>
      </c>
      <c r="AO96" s="3">
        <v>4.4383045602682603E-3</v>
      </c>
      <c r="AP96" s="3">
        <v>8.2128308032086497E-3</v>
      </c>
      <c r="AQ96" s="3">
        <v>3.2434826461591802E-3</v>
      </c>
      <c r="AR96" s="3">
        <v>7.5880856763444501E-4</v>
      </c>
      <c r="AS96" s="3">
        <v>-1.7349006893576499E-3</v>
      </c>
      <c r="AT96" s="3">
        <v>2.7465478304542299E-3</v>
      </c>
      <c r="AU96" s="6">
        <v>1.3406344077023301E-5</v>
      </c>
      <c r="AV96" s="3">
        <v>-2.7296738386142802E-3</v>
      </c>
    </row>
    <row r="97" spans="1:48" x14ac:dyDescent="0.2">
      <c r="A97" t="s">
        <v>54</v>
      </c>
      <c r="B97">
        <v>2023</v>
      </c>
      <c r="C97">
        <v>65</v>
      </c>
      <c r="D97" t="s">
        <v>51</v>
      </c>
      <c r="E97" s="3">
        <v>94279</v>
      </c>
      <c r="F97" s="3">
        <v>4399</v>
      </c>
      <c r="G97" s="3">
        <v>999</v>
      </c>
      <c r="H97" s="3">
        <v>55</v>
      </c>
      <c r="I97" s="3">
        <v>112454</v>
      </c>
      <c r="J97" s="4">
        <v>1.52866666666666</v>
      </c>
      <c r="K97" s="3">
        <v>1.6768749999999999</v>
      </c>
      <c r="L97" s="3">
        <v>2877.6711731356299</v>
      </c>
      <c r="M97" s="2">
        <v>32.799105478941399</v>
      </c>
      <c r="N97" s="3">
        <v>8.7825772199999999E-2</v>
      </c>
      <c r="O97" s="3">
        <v>87.737946427799997</v>
      </c>
      <c r="P97" s="2">
        <v>2356.0270754257099</v>
      </c>
      <c r="Q97" s="3">
        <v>0.1431</v>
      </c>
      <c r="R97" s="3">
        <v>0.17380000000000001</v>
      </c>
      <c r="S97" s="3">
        <v>0.1239</v>
      </c>
      <c r="T97" s="3">
        <v>3.3270867000000002</v>
      </c>
      <c r="U97" s="2">
        <v>411.79474487570798</v>
      </c>
      <c r="V97" s="3">
        <v>5.7004845322400302</v>
      </c>
      <c r="W97" s="2">
        <v>291.91175464524503</v>
      </c>
      <c r="X97" s="2">
        <v>709.40698405319404</v>
      </c>
      <c r="Y97" s="2">
        <v>0.65158194860460905</v>
      </c>
      <c r="Z97" s="2"/>
      <c r="AA97" s="2">
        <f>Table1[[#This Row],[direct_tax]]*Table1[[#This Row],[kappa]]</f>
        <v>462.236785023099</v>
      </c>
      <c r="AB97" s="2">
        <f>Table1[[#This Row],[direct_tax]]+Table1[[#This Row],[indirect_cost]]</f>
        <v>1171.643769076293</v>
      </c>
      <c r="AC97" s="3">
        <v>680</v>
      </c>
      <c r="AD97" s="3">
        <v>1020</v>
      </c>
      <c r="AE97" s="3">
        <v>1360</v>
      </c>
      <c r="AF97" s="2">
        <v>748</v>
      </c>
      <c r="AG97" s="3">
        <v>1122</v>
      </c>
      <c r="AH97" s="2">
        <v>1496</v>
      </c>
      <c r="AI97" s="2">
        <v>491.64376907629298</v>
      </c>
      <c r="AJ97" s="2">
        <v>151.64376907629301</v>
      </c>
      <c r="AK97" s="3">
        <v>-188.35623092370599</v>
      </c>
      <c r="AL97" s="2">
        <v>423.64376907629298</v>
      </c>
      <c r="AM97" s="2">
        <v>49.6437690762938</v>
      </c>
      <c r="AN97" s="3">
        <v>-324.35623092370599</v>
      </c>
      <c r="AO97" s="3">
        <v>6.3084193008091701E-3</v>
      </c>
      <c r="AP97" s="2">
        <v>1.04188714414453E-2</v>
      </c>
      <c r="AQ97" s="3">
        <v>4.3719544798432597E-3</v>
      </c>
      <c r="AR97" s="3">
        <v>1.3484959990422199E-3</v>
      </c>
      <c r="AS97" s="3">
        <v>-1.67496248175881E-3</v>
      </c>
      <c r="AT97" s="3">
        <v>3.7672627836830498E-3</v>
      </c>
      <c r="AU97" s="3">
        <v>4.4145845480190901E-4</v>
      </c>
      <c r="AV97" s="3">
        <v>-2.88434587407923E-3</v>
      </c>
    </row>
    <row r="98" spans="1:48" x14ac:dyDescent="0.2">
      <c r="A98" t="s">
        <v>54</v>
      </c>
      <c r="B98">
        <v>2024</v>
      </c>
      <c r="C98">
        <v>80</v>
      </c>
      <c r="D98" t="s">
        <v>51</v>
      </c>
      <c r="E98" s="3">
        <v>97434</v>
      </c>
      <c r="F98" s="3">
        <v>4399</v>
      </c>
      <c r="G98" s="3">
        <v>999</v>
      </c>
      <c r="H98" s="3">
        <v>55</v>
      </c>
      <c r="I98" s="3">
        <v>112454</v>
      </c>
      <c r="J98" s="4">
        <v>1.49741666666666</v>
      </c>
      <c r="K98" s="3">
        <v>1.4333750000000001</v>
      </c>
      <c r="L98" s="2">
        <v>2937.7260838110001</v>
      </c>
      <c r="M98" s="2">
        <v>38.3709775878608</v>
      </c>
      <c r="N98" s="3">
        <v>8.7825772199999999E-2</v>
      </c>
      <c r="O98" s="3">
        <v>87.737946427799997</v>
      </c>
      <c r="P98" s="2">
        <v>2356.0270754257099</v>
      </c>
      <c r="Q98" s="3">
        <v>0.17610000000000001</v>
      </c>
      <c r="R98" s="3">
        <v>0.21390000000000001</v>
      </c>
      <c r="S98" s="3">
        <v>0.1525</v>
      </c>
      <c r="T98" s="3">
        <v>4.0950825000000002</v>
      </c>
      <c r="U98" s="2">
        <v>517.33356335911799</v>
      </c>
      <c r="V98" s="2">
        <v>8.2075521060434191</v>
      </c>
      <c r="W98" s="2">
        <v>359.29412900242102</v>
      </c>
      <c r="X98" s="2">
        <v>884.83524446758304</v>
      </c>
      <c r="Y98" s="3">
        <v>0.45272062733315499</v>
      </c>
      <c r="Z98" s="3"/>
      <c r="AA98" s="2">
        <f>Table1[[#This Row],[direct_tax]]*Table1[[#This Row],[kappa]]</f>
        <v>400.58316696184977</v>
      </c>
      <c r="AB98" s="2">
        <f>Table1[[#This Row],[direct_tax]]+Table1[[#This Row],[indirect_cost]]</f>
        <v>1285.4184114294328</v>
      </c>
      <c r="AC98" s="3">
        <v>752</v>
      </c>
      <c r="AD98" s="3">
        <v>1128</v>
      </c>
      <c r="AE98" s="3">
        <v>1504</v>
      </c>
      <c r="AF98" s="3">
        <v>902.4</v>
      </c>
      <c r="AG98" s="3">
        <v>1353.6</v>
      </c>
      <c r="AH98" s="3">
        <v>1804.8</v>
      </c>
      <c r="AI98" s="3">
        <v>533.41841142943304</v>
      </c>
      <c r="AJ98" s="2">
        <v>157.41841142943301</v>
      </c>
      <c r="AK98" s="3">
        <v>-218.581588570566</v>
      </c>
      <c r="AL98" s="2">
        <v>383.018411429433</v>
      </c>
      <c r="AM98" s="3">
        <v>-68.181588570566802</v>
      </c>
      <c r="AN98" s="3">
        <v>-519.38158857056601</v>
      </c>
      <c r="AO98" s="3">
        <v>7.8684194823446293E-3</v>
      </c>
      <c r="AP98" s="2">
        <v>1.14306152865121E-2</v>
      </c>
      <c r="AQ98" s="3">
        <v>4.7434365289756898E-3</v>
      </c>
      <c r="AR98" s="3">
        <v>1.39984715020748E-3</v>
      </c>
      <c r="AS98" s="3">
        <v>-1.9437422285607099E-3</v>
      </c>
      <c r="AT98" s="3">
        <v>3.4060007774684101E-3</v>
      </c>
      <c r="AU98" s="3">
        <v>-6.0630647705343401E-4</v>
      </c>
      <c r="AV98" s="3">
        <v>-4.6186137315752801E-3</v>
      </c>
    </row>
    <row r="99" spans="1:48" x14ac:dyDescent="0.2">
      <c r="A99" t="s">
        <v>54</v>
      </c>
      <c r="B99">
        <v>2025</v>
      </c>
      <c r="C99">
        <v>0</v>
      </c>
      <c r="D99" t="s">
        <v>51</v>
      </c>
      <c r="E99" s="3">
        <v>97434</v>
      </c>
      <c r="F99" s="3">
        <v>4399</v>
      </c>
      <c r="G99" s="3">
        <v>999</v>
      </c>
      <c r="H99" s="3">
        <v>55</v>
      </c>
      <c r="I99" s="3">
        <v>112454</v>
      </c>
      <c r="J99" s="4">
        <v>1.37879166666666</v>
      </c>
      <c r="K99" s="2">
        <v>1.2946249999999999</v>
      </c>
      <c r="L99" s="2">
        <v>3190.4747514429901</v>
      </c>
      <c r="M99" s="2">
        <v>42.483344597856501</v>
      </c>
      <c r="N99" s="3">
        <v>8.7825772199999999E-2</v>
      </c>
      <c r="O99" s="3">
        <v>87.737946427799997</v>
      </c>
      <c r="P99" s="2">
        <v>2356.0270754257099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/>
      <c r="AA99" s="3">
        <f>Table1[[#This Row],[direct_tax]]*Table1[[#This Row],[kappa]]</f>
        <v>0</v>
      </c>
      <c r="AB99" s="3">
        <f>Table1[[#This Row],[direct_tax]]+Table1[[#This Row],[indirect_cost]]</f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</row>
    <row r="100" spans="1:48" x14ac:dyDescent="0.2">
      <c r="A100" t="s">
        <v>54</v>
      </c>
      <c r="B100">
        <v>2019</v>
      </c>
      <c r="C100">
        <v>20</v>
      </c>
      <c r="D100" t="s">
        <v>52</v>
      </c>
      <c r="E100" s="3">
        <v>114496</v>
      </c>
      <c r="F100" s="3">
        <v>5446</v>
      </c>
      <c r="G100" s="3">
        <v>1154</v>
      </c>
      <c r="H100" s="3">
        <v>80</v>
      </c>
      <c r="I100" s="3">
        <v>184893</v>
      </c>
      <c r="J100" s="4">
        <v>1.11154166666666</v>
      </c>
      <c r="K100" s="2">
        <v>1.1245833333333299</v>
      </c>
      <c r="L100" s="2">
        <v>4899.5014431907603</v>
      </c>
      <c r="M100" s="2">
        <v>71.137458317895494</v>
      </c>
      <c r="N100" s="3">
        <v>8.7825772199999999E-2</v>
      </c>
      <c r="O100" s="3">
        <v>101.35094111879999</v>
      </c>
      <c r="P100" s="2">
        <v>2721.5768218631301</v>
      </c>
      <c r="Q100" s="3">
        <v>4.4200000000000003E-2</v>
      </c>
      <c r="R100" s="3">
        <v>5.3699999999999998E-2</v>
      </c>
      <c r="S100" s="3">
        <v>3.9100000000000003E-2</v>
      </c>
      <c r="T100" s="2">
        <v>1.0499522999999999</v>
      </c>
      <c r="U100" s="2">
        <v>216.55796378903099</v>
      </c>
      <c r="V100" s="2">
        <v>3.8200815116709799</v>
      </c>
      <c r="W100" s="2">
        <v>106.413653734848</v>
      </c>
      <c r="X100" s="2">
        <v>326.79169903555101</v>
      </c>
      <c r="Y100" s="2">
        <v>1.2481659124189699</v>
      </c>
      <c r="Z100" s="2"/>
      <c r="AA100" s="2">
        <f>Table1[[#This Row],[direct_tax]]*Table1[[#This Row],[kappa]]</f>
        <v>407.8902591976539</v>
      </c>
      <c r="AB100" s="2">
        <f>Table1[[#This Row],[direct_tax]]+Table1[[#This Row],[indirect_cost]]</f>
        <v>734.68195823320491</v>
      </c>
      <c r="AC100" s="3">
        <v>305</v>
      </c>
      <c r="AD100" s="3">
        <v>457</v>
      </c>
      <c r="AE100" s="3">
        <v>609</v>
      </c>
      <c r="AF100" s="3">
        <v>335.5</v>
      </c>
      <c r="AG100" s="2">
        <v>502.7</v>
      </c>
      <c r="AH100" s="2">
        <v>669.9</v>
      </c>
      <c r="AI100" s="2">
        <v>429.68195823320599</v>
      </c>
      <c r="AJ100" s="2">
        <v>277.68195823320599</v>
      </c>
      <c r="AK100" s="2">
        <v>125.681958233206</v>
      </c>
      <c r="AL100" s="2">
        <v>399.18195823320599</v>
      </c>
      <c r="AM100" s="2">
        <v>231.981958233206</v>
      </c>
      <c r="AN100" s="2">
        <v>64.781958233206595</v>
      </c>
      <c r="AO100" s="3">
        <v>1.76746387930073E-3</v>
      </c>
      <c r="AP100" s="3">
        <v>3.9735520448757203E-3</v>
      </c>
      <c r="AQ100" s="3">
        <v>2.3239493016674801E-3</v>
      </c>
      <c r="AR100" s="3">
        <v>1.5018521968555099E-3</v>
      </c>
      <c r="AS100" s="3">
        <v>6.7975509204354204E-4</v>
      </c>
      <c r="AT100" s="3">
        <v>2.1589890273466601E-3</v>
      </c>
      <c r="AU100" s="3">
        <v>1.25468221205349E-3</v>
      </c>
      <c r="AV100" s="3">
        <v>3.5037539676032402E-4</v>
      </c>
    </row>
    <row r="101" spans="1:48" x14ac:dyDescent="0.2">
      <c r="A101" t="s">
        <v>54</v>
      </c>
      <c r="B101">
        <v>2020</v>
      </c>
      <c r="C101">
        <v>30</v>
      </c>
      <c r="D101" t="s">
        <v>52</v>
      </c>
      <c r="E101" s="3">
        <v>118538</v>
      </c>
      <c r="F101" s="3">
        <v>4712.5</v>
      </c>
      <c r="G101" s="3">
        <v>1165.5</v>
      </c>
      <c r="H101" s="3">
        <v>80</v>
      </c>
      <c r="I101" s="3">
        <v>178888</v>
      </c>
      <c r="J101" s="4">
        <v>0.96683333333333299</v>
      </c>
      <c r="K101" s="2">
        <v>0.92245833333333305</v>
      </c>
      <c r="L101" s="2">
        <v>4874.1596276503997</v>
      </c>
      <c r="M101" s="2">
        <v>86.724784317268103</v>
      </c>
      <c r="N101" s="3">
        <v>8.7825772199999999E-2</v>
      </c>
      <c r="O101" s="3">
        <v>102.3609374991</v>
      </c>
      <c r="P101" s="2">
        <v>2748.6982546633299</v>
      </c>
      <c r="Q101" s="3">
        <v>6.6299999999999998E-2</v>
      </c>
      <c r="R101" s="3">
        <v>8.0500000000000002E-2</v>
      </c>
      <c r="S101" s="3">
        <v>5.8700000000000002E-2</v>
      </c>
      <c r="T101" s="2">
        <v>1.5762711</v>
      </c>
      <c r="U101" s="2">
        <v>323.15678331322101</v>
      </c>
      <c r="V101" s="2">
        <v>6.9813451375400799</v>
      </c>
      <c r="W101" s="2">
        <v>161.34858754873699</v>
      </c>
      <c r="X101" s="2">
        <v>491.48671599949898</v>
      </c>
      <c r="Y101" s="2">
        <v>1.1155916982380001</v>
      </c>
      <c r="Z101" s="2"/>
      <c r="AA101" s="2">
        <f>Table1[[#This Row],[direct_tax]]*Table1[[#This Row],[kappa]]</f>
        <v>548.29850016329874</v>
      </c>
      <c r="AB101" s="2">
        <f>Table1[[#This Row],[direct_tax]]+Table1[[#This Row],[indirect_cost]]</f>
        <v>1039.7852161627977</v>
      </c>
      <c r="AC101" s="3">
        <v>405</v>
      </c>
      <c r="AD101" s="3">
        <v>607</v>
      </c>
      <c r="AE101" s="3">
        <v>809</v>
      </c>
      <c r="AF101" s="2">
        <v>445.5</v>
      </c>
      <c r="AG101" s="3">
        <v>667.7</v>
      </c>
      <c r="AH101" s="2">
        <v>889.9</v>
      </c>
      <c r="AI101" s="2">
        <v>634.7852161628</v>
      </c>
      <c r="AJ101" s="2">
        <v>432.7852161628</v>
      </c>
      <c r="AK101" s="2">
        <v>230.7852161628</v>
      </c>
      <c r="AL101" s="2">
        <v>594.2852161628</v>
      </c>
      <c r="AM101" s="2">
        <v>372.08521616280001</v>
      </c>
      <c r="AN101" s="2">
        <v>149.88521616279999</v>
      </c>
      <c r="AO101" s="3">
        <v>2.7474549215123398E-3</v>
      </c>
      <c r="AP101" s="3">
        <v>5.8124928232346504E-3</v>
      </c>
      <c r="AQ101" s="3">
        <v>3.5485064183332598E-3</v>
      </c>
      <c r="AR101" s="3">
        <v>2.4193082608268798E-3</v>
      </c>
      <c r="AS101" s="3">
        <v>1.29011010332051E-3</v>
      </c>
      <c r="AT101" s="3">
        <v>3.3221077778431201E-3</v>
      </c>
      <c r="AU101" s="3">
        <v>2.0799898045861099E-3</v>
      </c>
      <c r="AV101" s="3">
        <v>8.3787183132909998E-4</v>
      </c>
    </row>
    <row r="102" spans="1:48" x14ac:dyDescent="0.2">
      <c r="A102" t="s">
        <v>54</v>
      </c>
      <c r="B102">
        <v>2021</v>
      </c>
      <c r="C102">
        <v>40</v>
      </c>
      <c r="D102" t="s">
        <v>52</v>
      </c>
      <c r="E102" s="3">
        <v>108123</v>
      </c>
      <c r="F102" s="3">
        <v>3979</v>
      </c>
      <c r="G102" s="3">
        <v>1177</v>
      </c>
      <c r="H102" s="3">
        <v>80</v>
      </c>
      <c r="I102" s="3">
        <v>172883</v>
      </c>
      <c r="J102" s="4">
        <v>1.2702499999999901</v>
      </c>
      <c r="K102" s="3">
        <v>1.13225</v>
      </c>
      <c r="L102" s="2">
        <v>3132.4542412910801</v>
      </c>
      <c r="M102" s="2">
        <v>70.655773901523503</v>
      </c>
      <c r="N102" s="3">
        <v>8.7825772199999999E-2</v>
      </c>
      <c r="O102" s="3">
        <v>103.3709338794</v>
      </c>
      <c r="P102" s="2">
        <v>2775.81968746352</v>
      </c>
      <c r="Q102" s="3">
        <v>8.8400000000000006E-2</v>
      </c>
      <c r="R102" s="3">
        <v>0.10730000000000001</v>
      </c>
      <c r="S102" s="3">
        <v>7.8299999999999995E-2</v>
      </c>
      <c r="T102" s="3">
        <v>2.1025898999999999</v>
      </c>
      <c r="U102" s="2">
        <v>276.90895493013102</v>
      </c>
      <c r="V102" s="2">
        <v>7.5813645396334701</v>
      </c>
      <c r="W102" s="2">
        <v>217.34668152839399</v>
      </c>
      <c r="X102" s="2">
        <v>501.837000998159</v>
      </c>
      <c r="Y102" s="2">
        <v>0.98301748405703304</v>
      </c>
      <c r="Z102" s="2"/>
      <c r="AA102" s="2">
        <f>Table1[[#This Row],[direct_tax]]*Table1[[#This Row],[kappa]]</f>
        <v>493.31454612793704</v>
      </c>
      <c r="AB102" s="2">
        <f>Table1[[#This Row],[direct_tax]]+Table1[[#This Row],[indirect_cost]]</f>
        <v>995.15154712609603</v>
      </c>
      <c r="AC102" s="3">
        <v>500</v>
      </c>
      <c r="AD102" s="3">
        <v>750</v>
      </c>
      <c r="AE102" s="3">
        <v>1000</v>
      </c>
      <c r="AF102" s="3">
        <v>550</v>
      </c>
      <c r="AG102" s="2">
        <v>825</v>
      </c>
      <c r="AH102" s="3">
        <v>1100</v>
      </c>
      <c r="AI102" s="2">
        <v>495.151547126097</v>
      </c>
      <c r="AJ102" s="2">
        <v>245.151547126097</v>
      </c>
      <c r="AK102" s="3">
        <v>-4.8484528739027102</v>
      </c>
      <c r="AL102" s="2">
        <v>445.151547126097</v>
      </c>
      <c r="AM102" s="2">
        <v>170.151547126097</v>
      </c>
      <c r="AN102" s="3">
        <v>-104.848452873902</v>
      </c>
      <c r="AO102" s="3">
        <v>2.90275504820115E-3</v>
      </c>
      <c r="AP102" s="3">
        <v>5.75621401251769E-3</v>
      </c>
      <c r="AQ102" s="3">
        <v>2.86408465335572E-3</v>
      </c>
      <c r="AR102" s="3">
        <v>1.4180199737747301E-3</v>
      </c>
      <c r="AS102" s="3">
        <v>-2.8044705806254599E-5</v>
      </c>
      <c r="AT102" s="3">
        <v>2.57487171743952E-3</v>
      </c>
      <c r="AU102" s="3">
        <v>9.8420056990043605E-4</v>
      </c>
      <c r="AV102" s="3">
        <v>-6.0647057763864895E-4</v>
      </c>
    </row>
    <row r="103" spans="1:48" x14ac:dyDescent="0.2">
      <c r="A103" t="s">
        <v>54</v>
      </c>
      <c r="B103">
        <v>2022</v>
      </c>
      <c r="C103">
        <v>50</v>
      </c>
      <c r="D103" t="s">
        <v>52</v>
      </c>
      <c r="E103" s="3">
        <v>117390</v>
      </c>
      <c r="F103" s="3">
        <v>4927</v>
      </c>
      <c r="G103" s="3">
        <v>1288.5</v>
      </c>
      <c r="H103" s="3">
        <v>76.5</v>
      </c>
      <c r="I103" s="3">
        <v>174594</v>
      </c>
      <c r="J103" s="3">
        <v>1.651875</v>
      </c>
      <c r="K103" s="2">
        <v>1.74491666666666</v>
      </c>
      <c r="L103" s="2">
        <v>2982.6712069617802</v>
      </c>
      <c r="M103" s="2">
        <v>43.841635226133</v>
      </c>
      <c r="N103" s="3">
        <v>8.7825772199999999E-2</v>
      </c>
      <c r="O103" s="3">
        <v>113.1635074797</v>
      </c>
      <c r="P103" s="2">
        <v>3038.77966635238</v>
      </c>
      <c r="Q103" s="3">
        <v>0.1105</v>
      </c>
      <c r="R103" s="3">
        <v>0.1341</v>
      </c>
      <c r="S103" s="3">
        <v>9.7900000000000001E-2</v>
      </c>
      <c r="T103" s="3">
        <v>2.6289087000000002</v>
      </c>
      <c r="U103" s="2">
        <v>329.58516836927703</v>
      </c>
      <c r="V103" s="2">
        <v>5.8791632838244396</v>
      </c>
      <c r="W103" s="2">
        <v>297.496529335898</v>
      </c>
      <c r="X103" s="2">
        <v>632.96086098900003</v>
      </c>
      <c r="Y103" s="2">
        <v>0.850443269876063</v>
      </c>
      <c r="Z103" s="2"/>
      <c r="AA103" s="2">
        <f>Table1[[#This Row],[direct_tax]]*Table1[[#This Row],[kappa]]</f>
        <v>538.29730432305337</v>
      </c>
      <c r="AB103" s="2">
        <f>Table1[[#This Row],[direct_tax]]+Table1[[#This Row],[indirect_cost]]</f>
        <v>1171.2581653120533</v>
      </c>
      <c r="AC103" s="3">
        <v>550</v>
      </c>
      <c r="AD103" s="3">
        <v>825</v>
      </c>
      <c r="AE103" s="3">
        <v>1101</v>
      </c>
      <c r="AF103" s="3">
        <v>605</v>
      </c>
      <c r="AG103" s="2">
        <v>907.5</v>
      </c>
      <c r="AH103" s="2">
        <v>1211.0999999999999</v>
      </c>
      <c r="AI103" s="2">
        <v>621.25816531205396</v>
      </c>
      <c r="AJ103" s="2">
        <v>346.25816531205402</v>
      </c>
      <c r="AK103" s="2">
        <v>70.258165312054103</v>
      </c>
      <c r="AL103" s="2">
        <v>566.25816531205396</v>
      </c>
      <c r="AM103" s="2">
        <v>263.75816531205402</v>
      </c>
      <c r="AN103" s="3">
        <v>-39.841834687945898</v>
      </c>
      <c r="AO103" s="3">
        <v>3.6253299711845699E-3</v>
      </c>
      <c r="AP103" s="3">
        <v>6.7084674462584799E-3</v>
      </c>
      <c r="AQ103" s="3">
        <v>3.5583019193789799E-3</v>
      </c>
      <c r="AR103" s="3">
        <v>1.9832191559392299E-3</v>
      </c>
      <c r="AS103" s="3">
        <v>4.0240881881424399E-4</v>
      </c>
      <c r="AT103" s="3">
        <v>3.2432853666910298E-3</v>
      </c>
      <c r="AU103" s="3">
        <v>1.5106943269073E-3</v>
      </c>
      <c r="AV103" s="3">
        <v>-2.2819704393017999E-4</v>
      </c>
    </row>
    <row r="104" spans="1:48" x14ac:dyDescent="0.2">
      <c r="A104" t="s">
        <v>54</v>
      </c>
      <c r="B104">
        <v>2023</v>
      </c>
      <c r="C104">
        <v>65</v>
      </c>
      <c r="D104" t="s">
        <v>52</v>
      </c>
      <c r="E104" s="3">
        <v>114096</v>
      </c>
      <c r="F104" s="3">
        <v>5875</v>
      </c>
      <c r="G104" s="3">
        <v>1400</v>
      </c>
      <c r="H104" s="3">
        <v>73</v>
      </c>
      <c r="I104" s="3">
        <v>176305</v>
      </c>
      <c r="J104" s="4">
        <v>1.52866666666666</v>
      </c>
      <c r="K104" s="3">
        <v>1.6768749999999999</v>
      </c>
      <c r="L104" s="2">
        <v>3843.2184910597398</v>
      </c>
      <c r="M104" s="2">
        <v>43.5333581811405</v>
      </c>
      <c r="N104" s="3">
        <v>8.7825772199999999E-2</v>
      </c>
      <c r="O104" s="3">
        <v>122.95608108</v>
      </c>
      <c r="P104" s="2">
        <v>3301.7396452412399</v>
      </c>
      <c r="Q104" s="3">
        <v>0.1431</v>
      </c>
      <c r="R104" s="3">
        <v>0.17380000000000001</v>
      </c>
      <c r="S104" s="3">
        <v>0.1239</v>
      </c>
      <c r="T104" s="3">
        <v>3.3270867000000002</v>
      </c>
      <c r="U104" s="2">
        <v>549.96456607064897</v>
      </c>
      <c r="V104" s="2">
        <v>7.5660976518822203</v>
      </c>
      <c r="W104" s="2">
        <v>409.08554204538899</v>
      </c>
      <c r="X104" s="2">
        <v>966.61620576792097</v>
      </c>
      <c r="Y104" s="2">
        <v>0.65158194860460905</v>
      </c>
      <c r="Z104" s="2"/>
      <c r="AA104" s="2">
        <f>Table1[[#This Row],[direct_tax]]*Table1[[#This Row],[kappa]]</f>
        <v>629.82967090705574</v>
      </c>
      <c r="AB104" s="2">
        <f>Table1[[#This Row],[direct_tax]]+Table1[[#This Row],[indirect_cost]]</f>
        <v>1596.4458766749767</v>
      </c>
      <c r="AC104" s="3">
        <v>680</v>
      </c>
      <c r="AD104" s="3">
        <v>1020</v>
      </c>
      <c r="AE104" s="3">
        <v>1360</v>
      </c>
      <c r="AF104" s="2">
        <v>748</v>
      </c>
      <c r="AG104" s="3">
        <v>1122</v>
      </c>
      <c r="AH104" s="2">
        <v>1496</v>
      </c>
      <c r="AI104" s="2">
        <v>916.44587667497797</v>
      </c>
      <c r="AJ104" s="2">
        <v>576.44587667497797</v>
      </c>
      <c r="AK104" s="2">
        <v>236.445876674978</v>
      </c>
      <c r="AL104" s="3">
        <v>848.44587667497797</v>
      </c>
      <c r="AM104" s="2">
        <v>474.44587667497802</v>
      </c>
      <c r="AN104" s="2">
        <v>100.445876674977</v>
      </c>
      <c r="AO104" s="3">
        <v>5.4826363731483602E-3</v>
      </c>
      <c r="AP104" s="3">
        <v>9.0550232646548698E-3</v>
      </c>
      <c r="AQ104" s="3">
        <v>5.1980708242816602E-3</v>
      </c>
      <c r="AR104" s="3">
        <v>3.2695946040950498E-3</v>
      </c>
      <c r="AS104" s="3">
        <v>1.3411183839084401E-3</v>
      </c>
      <c r="AT104" s="3">
        <v>4.8123755802443298E-3</v>
      </c>
      <c r="AU104" s="3">
        <v>2.6910517380390598E-3</v>
      </c>
      <c r="AV104" s="3">
        <v>5.69727895833798E-4</v>
      </c>
    </row>
    <row r="105" spans="1:48" x14ac:dyDescent="0.2">
      <c r="A105" t="s">
        <v>54</v>
      </c>
      <c r="B105">
        <v>2024</v>
      </c>
      <c r="C105">
        <v>80</v>
      </c>
      <c r="D105" t="s">
        <v>52</v>
      </c>
      <c r="E105" s="3">
        <v>115530</v>
      </c>
      <c r="F105" s="3">
        <v>5875</v>
      </c>
      <c r="G105" s="3">
        <v>1400</v>
      </c>
      <c r="H105" s="3">
        <v>73</v>
      </c>
      <c r="I105" s="3">
        <v>176305</v>
      </c>
      <c r="J105" s="4">
        <v>1.49741666666666</v>
      </c>
      <c r="K105" s="3">
        <v>1.4333750000000001</v>
      </c>
      <c r="L105" s="2">
        <v>3923.4236741054001</v>
      </c>
      <c r="M105" s="2">
        <v>50.928752071160702</v>
      </c>
      <c r="N105" s="3">
        <v>8.7825772199999999E-2</v>
      </c>
      <c r="O105" s="3">
        <v>122.95608108</v>
      </c>
      <c r="P105" s="2">
        <v>3301.7396452412399</v>
      </c>
      <c r="Q105" s="3">
        <v>0.17610000000000001</v>
      </c>
      <c r="R105" s="3">
        <v>0.21390000000000001</v>
      </c>
      <c r="S105" s="3">
        <v>0.1525</v>
      </c>
      <c r="T105" s="3">
        <v>4.0950825000000002</v>
      </c>
      <c r="U105" s="2">
        <v>690.91490900996098</v>
      </c>
      <c r="V105" s="2">
        <v>10.8936600680212</v>
      </c>
      <c r="W105" s="2">
        <v>503.51529589928901</v>
      </c>
      <c r="X105" s="2">
        <v>1205.32386497727</v>
      </c>
      <c r="Y105" s="3">
        <v>0.45272062733315499</v>
      </c>
      <c r="Z105" s="3"/>
      <c r="AA105" s="2">
        <f>Table1[[#This Row],[direct_tax]]*Table1[[#This Row],[kappa]]</f>
        <v>545.67497629213267</v>
      </c>
      <c r="AB105" s="2">
        <f>Table1[[#This Row],[direct_tax]]+Table1[[#This Row],[indirect_cost]]</f>
        <v>1750.9988412694026</v>
      </c>
      <c r="AC105" s="3">
        <v>752</v>
      </c>
      <c r="AD105" s="3">
        <v>1128</v>
      </c>
      <c r="AE105" s="3">
        <v>1504</v>
      </c>
      <c r="AF105" s="3">
        <v>902.4</v>
      </c>
      <c r="AG105" s="3">
        <v>1353.6</v>
      </c>
      <c r="AH105" s="3">
        <v>1804.8</v>
      </c>
      <c r="AI105" s="2">
        <v>998.99884126940503</v>
      </c>
      <c r="AJ105" s="2">
        <v>622.99884126940503</v>
      </c>
      <c r="AK105" s="2">
        <v>246.99884126940501</v>
      </c>
      <c r="AL105" s="2">
        <v>848.59884126940506</v>
      </c>
      <c r="AM105" s="2">
        <v>397.39884126940501</v>
      </c>
      <c r="AN105" s="3">
        <v>-53.801158730594302</v>
      </c>
      <c r="AO105" s="3">
        <v>6.8365835624472999E-3</v>
      </c>
      <c r="AP105" s="3">
        <v>9.9316459616539798E-3</v>
      </c>
      <c r="AQ105" s="3">
        <v>5.6663103217118298E-3</v>
      </c>
      <c r="AR105" s="3">
        <v>3.5336425017407601E-3</v>
      </c>
      <c r="AS105" s="3">
        <v>1.4009746817696901E-3</v>
      </c>
      <c r="AT105" s="3">
        <v>4.8132431937234002E-3</v>
      </c>
      <c r="AU105" s="3">
        <v>2.25404180975812E-3</v>
      </c>
      <c r="AV105" s="3">
        <v>-3.0515957420716499E-4</v>
      </c>
    </row>
    <row r="106" spans="1:48" x14ac:dyDescent="0.2">
      <c r="A106" t="s">
        <v>54</v>
      </c>
      <c r="B106">
        <v>2025</v>
      </c>
      <c r="C106">
        <v>0</v>
      </c>
      <c r="D106" t="s">
        <v>52</v>
      </c>
      <c r="E106" s="3">
        <v>115530</v>
      </c>
      <c r="F106" s="3">
        <v>5875</v>
      </c>
      <c r="G106" s="3">
        <v>1400</v>
      </c>
      <c r="H106" s="3">
        <v>73</v>
      </c>
      <c r="I106" s="3">
        <v>176305</v>
      </c>
      <c r="J106" s="4">
        <v>1.37879166666666</v>
      </c>
      <c r="K106" s="2">
        <v>1.2946249999999999</v>
      </c>
      <c r="L106" s="2">
        <v>4260.9773050074</v>
      </c>
      <c r="M106" s="2">
        <v>56.3869846480641</v>
      </c>
      <c r="N106" s="3">
        <v>8.7825772199999999E-2</v>
      </c>
      <c r="O106" s="3">
        <v>122.95608108</v>
      </c>
      <c r="P106" s="2">
        <v>3301.7396452412399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/>
      <c r="AA106" s="3">
        <f>Table1[[#This Row],[direct_tax]]*Table1[[#This Row],[kappa]]</f>
        <v>0</v>
      </c>
      <c r="AB106" s="3">
        <f>Table1[[#This Row],[direct_tax]]+Table1[[#This Row],[indirect_cost]]</f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</row>
    <row r="107" spans="1:48" x14ac:dyDescent="0.2">
      <c r="A107" t="s">
        <v>55</v>
      </c>
      <c r="B107">
        <v>2019</v>
      </c>
      <c r="C107">
        <v>20</v>
      </c>
      <c r="D107" t="s">
        <v>48</v>
      </c>
      <c r="E107" s="3">
        <v>212525</v>
      </c>
      <c r="F107" s="3">
        <v>1288</v>
      </c>
      <c r="G107" s="3">
        <v>720</v>
      </c>
      <c r="H107" s="3"/>
      <c r="I107" s="3">
        <v>48633</v>
      </c>
      <c r="J107" s="4">
        <v>1.0416666666666601</v>
      </c>
      <c r="K107" s="2">
        <v>1.1994166666666599</v>
      </c>
      <c r="L107" s="3">
        <v>1236.48</v>
      </c>
      <c r="M107" s="3"/>
      <c r="N107" s="3">
        <v>8.5847902099999998E-2</v>
      </c>
      <c r="O107" s="3">
        <v>61.810489511999997</v>
      </c>
      <c r="P107" s="2">
        <v>1659.7970748657301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/>
      <c r="W107" s="3">
        <v>0</v>
      </c>
      <c r="X107" s="3">
        <v>0</v>
      </c>
      <c r="Y107" s="2">
        <v>0.86214978662236796</v>
      </c>
      <c r="Z107" s="2"/>
      <c r="AA107" s="3">
        <f>Table1[[#This Row],[direct_tax]]*Table1[[#This Row],[kappa]]</f>
        <v>0</v>
      </c>
      <c r="AB107" s="3">
        <f>Table1[[#This Row],[direct_tax]]+Table1[[#This Row],[indirect_cost]]</f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</row>
    <row r="108" spans="1:48" x14ac:dyDescent="0.2">
      <c r="A108" t="s">
        <v>55</v>
      </c>
      <c r="B108">
        <v>2020</v>
      </c>
      <c r="C108">
        <v>30</v>
      </c>
      <c r="D108" t="s">
        <v>48</v>
      </c>
      <c r="E108" s="3">
        <v>235915</v>
      </c>
      <c r="F108" s="3">
        <v>1007.5</v>
      </c>
      <c r="G108" s="3">
        <v>695</v>
      </c>
      <c r="H108" s="3"/>
      <c r="I108" s="3">
        <v>45839</v>
      </c>
      <c r="J108" s="3">
        <v>0.92125000000000001</v>
      </c>
      <c r="K108" s="2">
        <v>1.01843055555555</v>
      </c>
      <c r="L108" s="2">
        <v>1093.6227951153301</v>
      </c>
      <c r="M108" s="3"/>
      <c r="N108" s="3">
        <v>8.5847902099999998E-2</v>
      </c>
      <c r="O108" s="3">
        <v>59.664291959499998</v>
      </c>
      <c r="P108" s="2">
        <v>1602.1652319884499</v>
      </c>
      <c r="Q108" s="3">
        <v>6.6299999999999998E-2</v>
      </c>
      <c r="R108" s="3">
        <v>8.0500000000000002E-2</v>
      </c>
      <c r="S108" s="3">
        <v>5.8700000000000002E-2</v>
      </c>
      <c r="T108" s="2">
        <v>1.5762711</v>
      </c>
      <c r="U108" s="2">
        <v>72.507191316146503</v>
      </c>
      <c r="V108" s="3"/>
      <c r="W108" s="2">
        <v>94.047099117722198</v>
      </c>
      <c r="X108" s="2">
        <v>166.554290433868</v>
      </c>
      <c r="Y108" s="2">
        <v>0.73773974881344895</v>
      </c>
      <c r="Z108" s="2"/>
      <c r="AA108" s="2">
        <f>Table1[[#This Row],[direct_tax]]*Table1[[#This Row],[kappa]]</f>
        <v>122.873720388484</v>
      </c>
      <c r="AB108" s="2">
        <f>Table1[[#This Row],[direct_tax]]+Table1[[#This Row],[indirect_cost]]</f>
        <v>289.42801082235201</v>
      </c>
      <c r="AC108" s="3">
        <v>444</v>
      </c>
      <c r="AD108" s="3">
        <v>666</v>
      </c>
      <c r="AE108" s="3">
        <v>888</v>
      </c>
      <c r="AF108" s="2">
        <v>488.4</v>
      </c>
      <c r="AG108" s="3">
        <v>732.6</v>
      </c>
      <c r="AH108" s="2">
        <v>976.8</v>
      </c>
      <c r="AI108" s="3">
        <v>-154.571989177646</v>
      </c>
      <c r="AJ108" s="3">
        <v>-376.571989177646</v>
      </c>
      <c r="AK108" s="3">
        <v>-598.57198917764595</v>
      </c>
      <c r="AL108" s="3">
        <v>-198.97198917764601</v>
      </c>
      <c r="AM108" s="3">
        <v>-443.17198917764603</v>
      </c>
      <c r="AN108" s="3">
        <v>-687.37198917764601</v>
      </c>
      <c r="AO108" s="3">
        <v>3.63346256318568E-3</v>
      </c>
      <c r="AP108" s="3">
        <v>6.3140123218733699E-3</v>
      </c>
      <c r="AQ108" s="3">
        <v>-3.37206285428666E-3</v>
      </c>
      <c r="AR108" s="3">
        <v>-8.2151004423666792E-3</v>
      </c>
      <c r="AS108" s="3">
        <v>-1.3058138030446699E-2</v>
      </c>
      <c r="AT108" s="3">
        <v>-4.3406703719026697E-3</v>
      </c>
      <c r="AU108" s="3">
        <v>-9.6680117187906908E-3</v>
      </c>
      <c r="AV108" s="3">
        <v>-1.49953530656787E-2</v>
      </c>
    </row>
    <row r="109" spans="1:48" x14ac:dyDescent="0.2">
      <c r="A109" t="s">
        <v>55</v>
      </c>
      <c r="B109">
        <v>2021</v>
      </c>
      <c r="C109">
        <v>40</v>
      </c>
      <c r="D109" t="s">
        <v>48</v>
      </c>
      <c r="E109" s="3">
        <v>204524</v>
      </c>
      <c r="F109" s="3">
        <v>727</v>
      </c>
      <c r="G109" s="3">
        <v>670</v>
      </c>
      <c r="H109" s="3"/>
      <c r="I109" s="3">
        <v>43045</v>
      </c>
      <c r="J109" s="4">
        <v>1.2632083333333299</v>
      </c>
      <c r="K109" s="2">
        <v>1.24137037037037</v>
      </c>
      <c r="L109" s="2">
        <v>575.51868588580601</v>
      </c>
      <c r="M109" s="3"/>
      <c r="N109" s="3">
        <v>8.5847902099999998E-2</v>
      </c>
      <c r="O109" s="3">
        <v>57.518094407</v>
      </c>
      <c r="P109" s="2">
        <v>1544.53338911117</v>
      </c>
      <c r="Q109" s="3">
        <v>8.8400000000000006E-2</v>
      </c>
      <c r="R109" s="3">
        <v>0.10730000000000001</v>
      </c>
      <c r="S109" s="3">
        <v>7.8299999999999995E-2</v>
      </c>
      <c r="T109" s="3">
        <v>2.1025898999999999</v>
      </c>
      <c r="U109" s="2">
        <v>50.875851832305301</v>
      </c>
      <c r="V109" s="3"/>
      <c r="W109" s="2">
        <v>120.936964367404</v>
      </c>
      <c r="X109" s="3">
        <v>171.81281619971</v>
      </c>
      <c r="Y109" s="2">
        <v>0.61332971100453004</v>
      </c>
      <c r="Z109" s="2"/>
      <c r="AA109" s="2">
        <f>Table1[[#This Row],[direct_tax]]*Table1[[#This Row],[kappa]]</f>
        <v>105.37790490664257</v>
      </c>
      <c r="AB109" s="2">
        <f>Table1[[#This Row],[direct_tax]]+Table1[[#This Row],[indirect_cost]]</f>
        <v>277.19072110635256</v>
      </c>
      <c r="AC109" s="3">
        <v>490</v>
      </c>
      <c r="AD109" s="3">
        <v>735</v>
      </c>
      <c r="AE109" s="3">
        <v>981</v>
      </c>
      <c r="AF109" s="3">
        <v>539</v>
      </c>
      <c r="AG109" s="2">
        <v>808.5</v>
      </c>
      <c r="AH109" s="2">
        <v>1079.0999999999999</v>
      </c>
      <c r="AI109" s="3">
        <v>-212.80927889364699</v>
      </c>
      <c r="AJ109" s="3">
        <v>-457.80927889364699</v>
      </c>
      <c r="AK109" s="3">
        <v>-703.80927889364705</v>
      </c>
      <c r="AL109" s="3">
        <v>-261.80927889364699</v>
      </c>
      <c r="AM109" s="3">
        <v>-531.30927889364705</v>
      </c>
      <c r="AN109" s="3">
        <v>-801.90927889364696</v>
      </c>
      <c r="AO109" s="3">
        <v>3.9914697688398096E-3</v>
      </c>
      <c r="AP109" s="3">
        <v>6.4395567686456601E-3</v>
      </c>
      <c r="AQ109" s="3">
        <v>-4.9438791704877897E-3</v>
      </c>
      <c r="AR109" s="3">
        <v>-1.0635597140054499E-2</v>
      </c>
      <c r="AS109" s="3">
        <v>-1.63505466115378E-2</v>
      </c>
      <c r="AT109" s="3">
        <v>-6.0822227644011396E-3</v>
      </c>
      <c r="AU109" s="3">
        <v>-1.23431125309245E-2</v>
      </c>
      <c r="AV109" s="3">
        <v>-1.86295569495562E-2</v>
      </c>
    </row>
    <row r="110" spans="1:48" x14ac:dyDescent="0.2">
      <c r="A110" t="s">
        <v>55</v>
      </c>
      <c r="B110">
        <v>2022</v>
      </c>
      <c r="C110">
        <v>50</v>
      </c>
      <c r="D110" t="s">
        <v>48</v>
      </c>
      <c r="E110" s="3">
        <v>245238</v>
      </c>
      <c r="F110" s="3">
        <v>1195</v>
      </c>
      <c r="G110" s="3">
        <v>745</v>
      </c>
      <c r="H110" s="3"/>
      <c r="I110" s="3">
        <v>45624.5</v>
      </c>
      <c r="J110" s="4">
        <v>1.5502499999999999</v>
      </c>
      <c r="K110" s="2">
        <v>1.90406481481481</v>
      </c>
      <c r="L110" s="2">
        <v>770.84341235284603</v>
      </c>
      <c r="M110" s="3"/>
      <c r="N110" s="3">
        <v>8.5847902099999998E-2</v>
      </c>
      <c r="O110" s="2">
        <v>63.956687064499903</v>
      </c>
      <c r="P110" s="2">
        <v>1717.4289177430101</v>
      </c>
      <c r="Q110" s="3">
        <v>0.1105</v>
      </c>
      <c r="R110" s="3">
        <v>0.1341</v>
      </c>
      <c r="S110" s="3">
        <v>9.7900000000000001E-2</v>
      </c>
      <c r="T110" s="3">
        <v>2.6289087000000002</v>
      </c>
      <c r="U110" s="2">
        <v>85.178197064989504</v>
      </c>
      <c r="V110" s="3"/>
      <c r="W110" s="2">
        <v>168.136291047041</v>
      </c>
      <c r="X110" s="2">
        <v>253.314488112031</v>
      </c>
      <c r="Y110" s="2">
        <v>0.48891967319561103</v>
      </c>
      <c r="Z110" s="2"/>
      <c r="AA110" s="2">
        <f>Table1[[#This Row],[direct_tax]]*Table1[[#This Row],[kappa]]</f>
        <v>123.85043674344769</v>
      </c>
      <c r="AB110" s="2">
        <f>Table1[[#This Row],[direct_tax]]+Table1[[#This Row],[indirect_cost]]</f>
        <v>377.16492485547872</v>
      </c>
      <c r="AC110" s="3">
        <v>539</v>
      </c>
      <c r="AD110" s="3">
        <v>809</v>
      </c>
      <c r="AE110" s="3">
        <v>1079</v>
      </c>
      <c r="AF110" s="2">
        <v>592.9</v>
      </c>
      <c r="AG110" s="2">
        <v>889.9</v>
      </c>
      <c r="AH110" s="3">
        <v>1186.9000000000001</v>
      </c>
      <c r="AI110" s="3">
        <v>-161.835075144521</v>
      </c>
      <c r="AJ110" s="3">
        <v>-431.835075144521</v>
      </c>
      <c r="AK110" s="3">
        <v>-701.83507514452106</v>
      </c>
      <c r="AL110" s="3">
        <v>-215.73507514452101</v>
      </c>
      <c r="AM110" s="3">
        <v>-512.73507514452103</v>
      </c>
      <c r="AN110" s="3">
        <v>-809.73507514452103</v>
      </c>
      <c r="AO110" s="3">
        <v>5.5521592151591996E-3</v>
      </c>
      <c r="AP110" s="3">
        <v>8.2667190841648405E-3</v>
      </c>
      <c r="AQ110" s="3">
        <v>-3.54710901258142E-3</v>
      </c>
      <c r="AR110" s="3">
        <v>-9.4649820851630401E-3</v>
      </c>
      <c r="AS110" s="3">
        <v>-1.5382855157744599E-2</v>
      </c>
      <c r="AT110" s="3">
        <v>-4.7284918222560502E-3</v>
      </c>
      <c r="AU110" s="3">
        <v>-1.12381522020958E-2</v>
      </c>
      <c r="AV110" s="3">
        <v>-1.7747812581935599E-2</v>
      </c>
    </row>
    <row r="111" spans="1:48" x14ac:dyDescent="0.2">
      <c r="A111" t="s">
        <v>55</v>
      </c>
      <c r="B111">
        <v>2023</v>
      </c>
      <c r="C111">
        <v>65</v>
      </c>
      <c r="D111" t="s">
        <v>48</v>
      </c>
      <c r="E111" s="3">
        <v>234626</v>
      </c>
      <c r="F111" s="3">
        <v>1663</v>
      </c>
      <c r="G111" s="3">
        <v>820</v>
      </c>
      <c r="H111" s="3"/>
      <c r="I111" s="3">
        <v>48204</v>
      </c>
      <c r="J111" s="4">
        <v>1.3554166666666601</v>
      </c>
      <c r="K111" s="2">
        <v>1.7136805555555501</v>
      </c>
      <c r="L111" s="2">
        <v>1226.92898862588</v>
      </c>
      <c r="M111" s="3"/>
      <c r="N111" s="3">
        <v>8.5847902099999998E-2</v>
      </c>
      <c r="O111" s="3">
        <v>70.395279721999998</v>
      </c>
      <c r="P111" s="2">
        <v>1890.3244463748599</v>
      </c>
      <c r="Q111" s="3">
        <v>0.1431</v>
      </c>
      <c r="R111" s="3">
        <v>0.17380000000000001</v>
      </c>
      <c r="S111" s="3">
        <v>0.1239</v>
      </c>
      <c r="T111" s="3">
        <v>3.3270867000000002</v>
      </c>
      <c r="U111" s="3">
        <v>175.573538272364</v>
      </c>
      <c r="V111" s="3"/>
      <c r="W111" s="2">
        <v>234.21119890584501</v>
      </c>
      <c r="X111" s="2">
        <v>409.78473717820901</v>
      </c>
      <c r="Y111" s="2">
        <v>0.302304616482232</v>
      </c>
      <c r="Z111" s="2"/>
      <c r="AA111" s="2">
        <f>Table1[[#This Row],[direct_tax]]*Table1[[#This Row],[kappa]]</f>
        <v>123.87981781293071</v>
      </c>
      <c r="AB111" s="2">
        <f>Table1[[#This Row],[direct_tax]]+Table1[[#This Row],[indirect_cost]]</f>
        <v>533.66455499113977</v>
      </c>
      <c r="AC111" s="3">
        <v>772</v>
      </c>
      <c r="AD111" s="3">
        <v>1158</v>
      </c>
      <c r="AE111" s="3">
        <v>1544</v>
      </c>
      <c r="AF111" s="3">
        <v>849.2</v>
      </c>
      <c r="AG111" s="2">
        <v>1273.8</v>
      </c>
      <c r="AH111" s="3">
        <v>1698.4</v>
      </c>
      <c r="AI111" s="3">
        <v>-238.33544500885799</v>
      </c>
      <c r="AJ111" s="3">
        <v>-624.33544500885796</v>
      </c>
      <c r="AK111" s="3">
        <v>-1010.33544500885</v>
      </c>
      <c r="AL111" s="3">
        <v>-315.53544500885801</v>
      </c>
      <c r="AM111" s="3">
        <v>-740.13544500885803</v>
      </c>
      <c r="AN111" s="3">
        <v>-1164.7354450088501</v>
      </c>
      <c r="AO111" s="3">
        <v>8.50105255120342E-3</v>
      </c>
      <c r="AP111" s="2">
        <v>1.10709599823902E-2</v>
      </c>
      <c r="AQ111" s="3">
        <v>-4.9443084600626196E-3</v>
      </c>
      <c r="AR111" s="3">
        <v>-1.2951942681289E-2</v>
      </c>
      <c r="AS111" s="3">
        <v>-2.09595769025155E-2</v>
      </c>
      <c r="AT111" s="3">
        <v>-6.5458353043079103E-3</v>
      </c>
      <c r="AU111" s="3">
        <v>-1.5354232947657E-2</v>
      </c>
      <c r="AV111" s="3">
        <v>-2.4162630591006099E-2</v>
      </c>
    </row>
    <row r="112" spans="1:48" x14ac:dyDescent="0.2">
      <c r="A112" t="s">
        <v>55</v>
      </c>
      <c r="B112">
        <v>2024</v>
      </c>
      <c r="C112">
        <v>80</v>
      </c>
      <c r="D112" t="s">
        <v>48</v>
      </c>
      <c r="E112" s="3">
        <v>275468</v>
      </c>
      <c r="F112" s="3">
        <v>1663</v>
      </c>
      <c r="G112" s="3">
        <v>820</v>
      </c>
      <c r="H112" s="3"/>
      <c r="I112" s="3">
        <v>48204</v>
      </c>
      <c r="J112" s="4">
        <v>1.4460833333333301</v>
      </c>
      <c r="K112" s="2">
        <v>1.47389351851851</v>
      </c>
      <c r="L112" s="2">
        <v>1150.0028813461599</v>
      </c>
      <c r="M112" s="3"/>
      <c r="N112" s="3">
        <v>8.5847902099999998E-2</v>
      </c>
      <c r="O112" s="3">
        <v>70.395279721999998</v>
      </c>
      <c r="P112" s="2">
        <v>1890.3244463748599</v>
      </c>
      <c r="Q112" s="3">
        <v>0.17610000000000001</v>
      </c>
      <c r="R112" s="3">
        <v>0.21390000000000001</v>
      </c>
      <c r="S112" s="3">
        <v>0.1525</v>
      </c>
      <c r="T112" s="3">
        <v>4.0950825000000002</v>
      </c>
      <c r="U112" s="2">
        <v>202.515507405059</v>
      </c>
      <c r="V112" s="3"/>
      <c r="W112" s="2">
        <v>288.27447807216703</v>
      </c>
      <c r="X112" s="2">
        <v>490.78998547722603</v>
      </c>
      <c r="Y112" s="2">
        <v>0.11568955976885401</v>
      </c>
      <c r="Z112" s="2"/>
      <c r="AA112" s="2">
        <f>Table1[[#This Row],[direct_tax]]*Table1[[#This Row],[kappa]]</f>
        <v>56.779277358822533</v>
      </c>
      <c r="AB112" s="2">
        <f>Table1[[#This Row],[direct_tax]]+Table1[[#This Row],[indirect_cost]]</f>
        <v>547.56926283604855</v>
      </c>
      <c r="AC112" s="3">
        <v>900</v>
      </c>
      <c r="AD112" s="3">
        <v>1350</v>
      </c>
      <c r="AE112" s="3">
        <v>1800</v>
      </c>
      <c r="AF112" s="3">
        <v>1080</v>
      </c>
      <c r="AG112" s="3">
        <v>1620</v>
      </c>
      <c r="AH112" s="3">
        <v>2160</v>
      </c>
      <c r="AI112" s="3">
        <v>-352.43073716395003</v>
      </c>
      <c r="AJ112" s="3">
        <v>-802.43073716394997</v>
      </c>
      <c r="AK112" s="3">
        <v>-1252.43073716395</v>
      </c>
      <c r="AL112" s="3">
        <v>-532.43073716394997</v>
      </c>
      <c r="AM112" s="3">
        <v>-1072.43073716395</v>
      </c>
      <c r="AN112" s="3">
        <v>-1612.43073716395</v>
      </c>
      <c r="AO112" s="2">
        <v>1.0181519904514699E-2</v>
      </c>
      <c r="AP112" s="2">
        <v>1.13594154600458E-2</v>
      </c>
      <c r="AQ112" s="3">
        <v>-7.3112342785650597E-3</v>
      </c>
      <c r="AR112" s="3">
        <v>-1.6646559147870499E-2</v>
      </c>
      <c r="AS112" s="3">
        <v>-2.59818840171759E-2</v>
      </c>
      <c r="AT112" s="3">
        <v>-1.1045364226287199E-2</v>
      </c>
      <c r="AU112" s="3">
        <v>-2.2247754069453701E-2</v>
      </c>
      <c r="AV112" s="3">
        <v>-3.34501439126203E-2</v>
      </c>
    </row>
    <row r="113" spans="1:48" x14ac:dyDescent="0.2">
      <c r="A113" t="s">
        <v>55</v>
      </c>
      <c r="B113">
        <v>2025</v>
      </c>
      <c r="C113">
        <v>0</v>
      </c>
      <c r="D113" t="s">
        <v>48</v>
      </c>
      <c r="E113" s="3">
        <v>275468</v>
      </c>
      <c r="F113" s="3">
        <v>1663</v>
      </c>
      <c r="G113" s="3">
        <v>820</v>
      </c>
      <c r="H113" s="3"/>
      <c r="I113" s="3">
        <v>48204</v>
      </c>
      <c r="J113" s="4">
        <v>1.3190833333333301</v>
      </c>
      <c r="K113" s="2">
        <v>1.3772731481481399</v>
      </c>
      <c r="L113" s="2">
        <v>1260.72398761766</v>
      </c>
      <c r="M113" s="3"/>
      <c r="N113" s="3">
        <v>8.5847902099999998E-2</v>
      </c>
      <c r="O113" s="3">
        <v>70.395279721999998</v>
      </c>
      <c r="P113" s="2">
        <v>1890.3244463748599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/>
      <c r="W113" s="3">
        <v>0</v>
      </c>
      <c r="X113" s="3">
        <v>0</v>
      </c>
      <c r="Y113" s="3">
        <v>0</v>
      </c>
      <c r="Z113" s="3"/>
      <c r="AA113" s="3">
        <f>Table1[[#This Row],[direct_tax]]*Table1[[#This Row],[kappa]]</f>
        <v>0</v>
      </c>
      <c r="AB113" s="3">
        <f>Table1[[#This Row],[direct_tax]]+Table1[[#This Row],[indirect_cost]]</f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</row>
    <row r="114" spans="1:48" x14ac:dyDescent="0.2">
      <c r="A114" t="s">
        <v>55</v>
      </c>
      <c r="B114">
        <v>2019</v>
      </c>
      <c r="C114">
        <v>20</v>
      </c>
      <c r="D114" t="s">
        <v>49</v>
      </c>
      <c r="E114" s="3">
        <v>265583</v>
      </c>
      <c r="F114" s="3">
        <v>1858</v>
      </c>
      <c r="G114" s="3">
        <v>843</v>
      </c>
      <c r="H114" s="3">
        <v>38</v>
      </c>
      <c r="I114" s="3">
        <v>69147</v>
      </c>
      <c r="J114" s="4">
        <v>1.0416666666666601</v>
      </c>
      <c r="K114" s="2">
        <v>1.1994166666666599</v>
      </c>
      <c r="L114" s="2">
        <v>1783.6799999999901</v>
      </c>
      <c r="M114" s="2">
        <v>31.6820676717848</v>
      </c>
      <c r="N114" s="3">
        <v>8.5847902099999998E-2</v>
      </c>
      <c r="O114" s="3">
        <v>72.369781470299998</v>
      </c>
      <c r="P114" s="2">
        <v>1943.34574182196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2">
        <v>0.86214978662236796</v>
      </c>
      <c r="Z114" s="2"/>
      <c r="AA114" s="3">
        <f>Table1[[#This Row],[direct_tax]]*Table1[[#This Row],[kappa]]</f>
        <v>0</v>
      </c>
      <c r="AB114" s="3">
        <f>Table1[[#This Row],[direct_tax]]+Table1[[#This Row],[indirect_cost]]</f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</row>
    <row r="115" spans="1:48" x14ac:dyDescent="0.2">
      <c r="A115" t="s">
        <v>55</v>
      </c>
      <c r="B115">
        <v>2020</v>
      </c>
      <c r="C115">
        <v>30</v>
      </c>
      <c r="D115" t="s">
        <v>49</v>
      </c>
      <c r="E115" s="3">
        <v>271607</v>
      </c>
      <c r="F115" s="3">
        <v>1724.5</v>
      </c>
      <c r="G115" s="3">
        <v>938</v>
      </c>
      <c r="H115" s="3">
        <v>38.75</v>
      </c>
      <c r="I115" s="3">
        <v>68713</v>
      </c>
      <c r="J115" s="3">
        <v>0.92125000000000001</v>
      </c>
      <c r="K115" s="2">
        <v>1.01843055555555</v>
      </c>
      <c r="L115" s="2">
        <v>1871.9131614654</v>
      </c>
      <c r="M115" s="2">
        <v>38.0487405730494</v>
      </c>
      <c r="N115" s="3">
        <v>8.5847902099999998E-2</v>
      </c>
      <c r="O115" s="3">
        <v>80.525332169799995</v>
      </c>
      <c r="P115" s="2">
        <v>2162.34674475563</v>
      </c>
      <c r="Q115" s="3">
        <v>6.6299999999999998E-2</v>
      </c>
      <c r="R115" s="3">
        <v>8.0500000000000002E-2</v>
      </c>
      <c r="S115" s="3">
        <v>5.8700000000000002E-2</v>
      </c>
      <c r="T115" s="2">
        <v>1.5762711</v>
      </c>
      <c r="U115" s="2">
        <v>124.10784260515599</v>
      </c>
      <c r="V115" s="2">
        <v>3.06292361613048</v>
      </c>
      <c r="W115" s="2">
        <v>126.92975391715601</v>
      </c>
      <c r="X115" s="2">
        <v>254.10052013844199</v>
      </c>
      <c r="Y115" s="2">
        <v>0.73773974881344895</v>
      </c>
      <c r="Z115" s="2"/>
      <c r="AA115" s="2">
        <f>Table1[[#This Row],[direct_tax]]*Table1[[#This Row],[kappa]]</f>
        <v>187.46005390030092</v>
      </c>
      <c r="AB115" s="2">
        <f>Table1[[#This Row],[direct_tax]]+Table1[[#This Row],[indirect_cost]]</f>
        <v>441.56057403874291</v>
      </c>
      <c r="AC115" s="3">
        <v>444</v>
      </c>
      <c r="AD115" s="3">
        <v>666</v>
      </c>
      <c r="AE115" s="3">
        <v>888</v>
      </c>
      <c r="AF115" s="2">
        <v>488.4</v>
      </c>
      <c r="AG115" s="3">
        <v>732.6</v>
      </c>
      <c r="AH115" s="2">
        <v>976.8</v>
      </c>
      <c r="AI115" s="3">
        <v>-2.4394259612559401</v>
      </c>
      <c r="AJ115" s="3">
        <v>-224.43942596125501</v>
      </c>
      <c r="AK115" s="3">
        <v>-446.43942596125498</v>
      </c>
      <c r="AL115" s="3">
        <v>-46.839425961255898</v>
      </c>
      <c r="AM115" s="3">
        <v>-291.03942596125597</v>
      </c>
      <c r="AN115" s="3">
        <v>-535.23942596125596</v>
      </c>
      <c r="AO115" s="3">
        <v>3.6979977608086099E-3</v>
      </c>
      <c r="AP115" s="3">
        <v>6.4261576999802596E-3</v>
      </c>
      <c r="AQ115" s="3">
        <v>-3.5501665787492098E-5</v>
      </c>
      <c r="AR115" s="3">
        <v>-3.2663313486713699E-3</v>
      </c>
      <c r="AS115" s="3">
        <v>-6.4971610315552502E-3</v>
      </c>
      <c r="AT115" s="3">
        <v>-6.8166760236426801E-4</v>
      </c>
      <c r="AU115" s="3">
        <v>-4.2355802535365304E-3</v>
      </c>
      <c r="AV115" s="3">
        <v>-7.7894929047088004E-3</v>
      </c>
    </row>
    <row r="116" spans="1:48" x14ac:dyDescent="0.2">
      <c r="A116" t="s">
        <v>55</v>
      </c>
      <c r="B116">
        <v>2021</v>
      </c>
      <c r="C116">
        <v>40</v>
      </c>
      <c r="D116" t="s">
        <v>49</v>
      </c>
      <c r="E116" s="3">
        <v>292809</v>
      </c>
      <c r="F116" s="3">
        <v>1591</v>
      </c>
      <c r="G116" s="3">
        <v>1033</v>
      </c>
      <c r="H116" s="3">
        <v>39.5</v>
      </c>
      <c r="I116" s="3">
        <v>68279</v>
      </c>
      <c r="J116" s="4">
        <v>1.2632083333333299</v>
      </c>
      <c r="K116" s="2">
        <v>1.24137037037037</v>
      </c>
      <c r="L116" s="2">
        <v>1259.4913744763601</v>
      </c>
      <c r="M116" s="2">
        <v>31.819673598472399</v>
      </c>
      <c r="N116" s="3">
        <v>8.5847902099999998E-2</v>
      </c>
      <c r="O116" s="2">
        <v>88.680882869299893</v>
      </c>
      <c r="P116" s="2">
        <v>2381.3477476893099</v>
      </c>
      <c r="Q116" s="3">
        <v>8.8400000000000006E-2</v>
      </c>
      <c r="R116" s="3">
        <v>0.10730000000000001</v>
      </c>
      <c r="S116" s="3">
        <v>7.8299999999999995E-2</v>
      </c>
      <c r="T116" s="3">
        <v>2.1025898999999999</v>
      </c>
      <c r="U116" s="2">
        <v>111.33903750371</v>
      </c>
      <c r="V116" s="2">
        <v>3.4142509771160898</v>
      </c>
      <c r="W116" s="2">
        <v>186.459528644073</v>
      </c>
      <c r="X116" s="2">
        <v>301.21281712490003</v>
      </c>
      <c r="Y116" s="2">
        <v>0.61332971100453004</v>
      </c>
      <c r="Z116" s="2"/>
      <c r="AA116" s="2">
        <f>Table1[[#This Row],[direct_tax]]*Table1[[#This Row],[kappa]]</f>
        <v>184.7427700780753</v>
      </c>
      <c r="AB116" s="2">
        <f>Table1[[#This Row],[direct_tax]]+Table1[[#This Row],[indirect_cost]]</f>
        <v>485.95558720297532</v>
      </c>
      <c r="AC116" s="3">
        <v>490</v>
      </c>
      <c r="AD116" s="3">
        <v>735</v>
      </c>
      <c r="AE116" s="3">
        <v>981</v>
      </c>
      <c r="AF116" s="3">
        <v>539</v>
      </c>
      <c r="AG116" s="2">
        <v>808.5</v>
      </c>
      <c r="AH116" s="2">
        <v>1079.0999999999999</v>
      </c>
      <c r="AI116" s="3">
        <v>-4.0444127970244397</v>
      </c>
      <c r="AJ116" s="3">
        <v>-249.04441279702399</v>
      </c>
      <c r="AK116" s="3">
        <v>-495.04441279702399</v>
      </c>
      <c r="AL116" s="3">
        <v>-53.0444127970244</v>
      </c>
      <c r="AM116" s="3">
        <v>-322.54441279702399</v>
      </c>
      <c r="AN116" s="3">
        <v>-593.14441279702396</v>
      </c>
      <c r="AO116" s="3">
        <v>4.4115001263184796E-3</v>
      </c>
      <c r="AP116" s="3">
        <v>7.1172042238898496E-3</v>
      </c>
      <c r="AQ116" s="3">
        <v>-5.9233626693777703E-5</v>
      </c>
      <c r="AR116" s="3">
        <v>-3.6474525519855899E-3</v>
      </c>
      <c r="AS116" s="3">
        <v>-7.2503172688092102E-3</v>
      </c>
      <c r="AT116" s="3">
        <v>-7.7687741175214099E-4</v>
      </c>
      <c r="AU116" s="3">
        <v>-4.7239182295731397E-3</v>
      </c>
      <c r="AV116" s="3">
        <v>-8.6870694180791203E-3</v>
      </c>
    </row>
    <row r="117" spans="1:48" x14ac:dyDescent="0.2">
      <c r="A117" t="s">
        <v>55</v>
      </c>
      <c r="B117">
        <v>2022</v>
      </c>
      <c r="C117">
        <v>50</v>
      </c>
      <c r="D117" t="s">
        <v>49</v>
      </c>
      <c r="E117" s="3">
        <v>276414</v>
      </c>
      <c r="F117" s="3">
        <v>2652.5</v>
      </c>
      <c r="G117" s="3">
        <v>1101</v>
      </c>
      <c r="H117" s="3">
        <v>40.25</v>
      </c>
      <c r="I117" s="3">
        <v>74299.5</v>
      </c>
      <c r="J117" s="4">
        <v>1.5502499999999999</v>
      </c>
      <c r="K117" s="2">
        <v>1.90406481481481</v>
      </c>
      <c r="L117" s="2">
        <v>1711.01435252378</v>
      </c>
      <c r="M117" s="2">
        <v>21.138986281785002</v>
      </c>
      <c r="N117" s="3">
        <v>8.5847902099999998E-2</v>
      </c>
      <c r="O117" s="2">
        <v>94.518540212099893</v>
      </c>
      <c r="P117" s="2">
        <v>2538.1063603155199</v>
      </c>
      <c r="Q117" s="3">
        <v>0.1105</v>
      </c>
      <c r="R117" s="3">
        <v>0.1341</v>
      </c>
      <c r="S117" s="3">
        <v>9.7900000000000001E-2</v>
      </c>
      <c r="T117" s="3">
        <v>2.6289087000000002</v>
      </c>
      <c r="U117" s="2">
        <v>189.06708595387801</v>
      </c>
      <c r="V117" s="2">
        <v>2.83473806038737</v>
      </c>
      <c r="W117" s="2">
        <v>248.48061267488899</v>
      </c>
      <c r="X117" s="2">
        <v>440.38243668915499</v>
      </c>
      <c r="Y117" s="2">
        <v>0.48891967319561103</v>
      </c>
      <c r="Z117" s="2"/>
      <c r="AA117" s="2">
        <f>Table1[[#This Row],[direct_tax]]*Table1[[#This Row],[kappa]]</f>
        <v>215.31163702714852</v>
      </c>
      <c r="AB117" s="3">
        <f>Table1[[#This Row],[direct_tax]]+Table1[[#This Row],[indirect_cost]]</f>
        <v>655.69407371630348</v>
      </c>
      <c r="AC117" s="3">
        <v>539</v>
      </c>
      <c r="AD117" s="3">
        <v>809</v>
      </c>
      <c r="AE117" s="3">
        <v>1079</v>
      </c>
      <c r="AF117" s="2">
        <v>592.9</v>
      </c>
      <c r="AG117" s="2">
        <v>889.9</v>
      </c>
      <c r="AH117" s="3">
        <v>1186.9000000000001</v>
      </c>
      <c r="AI117" s="2">
        <v>116.694073716304</v>
      </c>
      <c r="AJ117" s="3">
        <v>-153.30592628369499</v>
      </c>
      <c r="AK117" s="3">
        <v>-423.30592628369499</v>
      </c>
      <c r="AL117" s="2">
        <v>62.794073716303899</v>
      </c>
      <c r="AM117" s="3">
        <v>-234.20592628369599</v>
      </c>
      <c r="AN117" s="3">
        <v>-531.20592628369604</v>
      </c>
      <c r="AO117" s="3">
        <v>5.9271251716250398E-3</v>
      </c>
      <c r="AP117" s="3">
        <v>8.8250132735254398E-3</v>
      </c>
      <c r="AQ117" s="3">
        <v>1.57059029625103E-3</v>
      </c>
      <c r="AR117" s="3">
        <v>-2.06335071277324E-3</v>
      </c>
      <c r="AS117" s="3">
        <v>-5.6972917217975299E-3</v>
      </c>
      <c r="AT117" s="3">
        <v>8.4514799852359603E-4</v>
      </c>
      <c r="AU117" s="3">
        <v>-3.1521871114031101E-3</v>
      </c>
      <c r="AV117" s="3">
        <v>-7.1495222213298296E-3</v>
      </c>
    </row>
    <row r="118" spans="1:48" x14ac:dyDescent="0.2">
      <c r="A118" t="s">
        <v>55</v>
      </c>
      <c r="B118">
        <v>2023</v>
      </c>
      <c r="C118">
        <v>65</v>
      </c>
      <c r="D118" t="s">
        <v>49</v>
      </c>
      <c r="E118" s="3">
        <v>308066</v>
      </c>
      <c r="F118" s="3">
        <v>3714</v>
      </c>
      <c r="G118" s="3">
        <v>1169</v>
      </c>
      <c r="H118" s="3">
        <v>41</v>
      </c>
      <c r="I118" s="3">
        <v>80320</v>
      </c>
      <c r="J118" s="4">
        <v>1.3554166666666601</v>
      </c>
      <c r="K118" s="2">
        <v>1.7136805555555501</v>
      </c>
      <c r="L118" s="2">
        <v>2740.1168152474602</v>
      </c>
      <c r="M118" s="2">
        <v>23.925112452891302</v>
      </c>
      <c r="N118" s="3">
        <v>8.5847902099999998E-2</v>
      </c>
      <c r="O118" s="2">
        <v>100.356197554899</v>
      </c>
      <c r="P118" s="3">
        <v>2694.8649729417298</v>
      </c>
      <c r="Q118" s="3">
        <v>0.1431</v>
      </c>
      <c r="R118" s="3">
        <v>0.17380000000000001</v>
      </c>
      <c r="S118" s="3">
        <v>0.1239</v>
      </c>
      <c r="T118" s="3">
        <v>3.3270867000000002</v>
      </c>
      <c r="U118" s="2">
        <v>392.11071626191199</v>
      </c>
      <c r="V118" s="2">
        <v>4.1581845443125101</v>
      </c>
      <c r="W118" s="2">
        <v>333.89377014747998</v>
      </c>
      <c r="X118" s="3">
        <v>730.16267095370495</v>
      </c>
      <c r="Y118" s="2">
        <v>0.302304616482232</v>
      </c>
      <c r="Z118" s="2"/>
      <c r="AA118" s="2">
        <f>Table1[[#This Row],[direct_tax]]*Table1[[#This Row],[kappa]]</f>
        <v>220.73154621230194</v>
      </c>
      <c r="AB118" s="2">
        <f>Table1[[#This Row],[direct_tax]]+Table1[[#This Row],[indirect_cost]]</f>
        <v>950.89421716600691</v>
      </c>
      <c r="AC118" s="3">
        <v>772</v>
      </c>
      <c r="AD118" s="3">
        <v>1158</v>
      </c>
      <c r="AE118" s="3">
        <v>1544</v>
      </c>
      <c r="AF118" s="3">
        <v>849.2</v>
      </c>
      <c r="AG118" s="2">
        <v>1273.8</v>
      </c>
      <c r="AH118" s="3">
        <v>1698.4</v>
      </c>
      <c r="AI118" s="2">
        <v>178.894217166007</v>
      </c>
      <c r="AJ118" s="3">
        <v>-207.10578283399201</v>
      </c>
      <c r="AK118" s="3">
        <v>-593.10578283399195</v>
      </c>
      <c r="AL118" s="2">
        <v>101.69421716600699</v>
      </c>
      <c r="AM118" s="3">
        <v>-322.90578283399202</v>
      </c>
      <c r="AN118" s="3">
        <v>-747.50578283399204</v>
      </c>
      <c r="AO118" s="3">
        <v>9.0906707041048893E-3</v>
      </c>
      <c r="AP118" s="2">
        <v>1.18388224248755E-2</v>
      </c>
      <c r="AQ118" s="3">
        <v>2.2272686400150298E-3</v>
      </c>
      <c r="AR118" s="3">
        <v>-2.5785082524152399E-3</v>
      </c>
      <c r="AS118" s="3">
        <v>-7.3842851448455201E-3</v>
      </c>
      <c r="AT118" s="3">
        <v>1.2661132615289701E-3</v>
      </c>
      <c r="AU118" s="3">
        <v>-4.0202413201443302E-3</v>
      </c>
      <c r="AV118" s="3">
        <v>-9.3065959018176301E-3</v>
      </c>
    </row>
    <row r="119" spans="1:48" x14ac:dyDescent="0.2">
      <c r="A119" t="s">
        <v>55</v>
      </c>
      <c r="B119">
        <v>2024</v>
      </c>
      <c r="C119">
        <v>80</v>
      </c>
      <c r="D119" t="s">
        <v>49</v>
      </c>
      <c r="E119" s="3">
        <v>312695</v>
      </c>
      <c r="F119" s="3">
        <v>3714</v>
      </c>
      <c r="G119" s="3">
        <v>1169</v>
      </c>
      <c r="H119" s="3">
        <v>41</v>
      </c>
      <c r="I119" s="3">
        <v>80320</v>
      </c>
      <c r="J119" s="4">
        <v>1.4460833333333301</v>
      </c>
      <c r="K119" s="2">
        <v>1.47389351851851</v>
      </c>
      <c r="L119" s="2">
        <v>2568.3167175704398</v>
      </c>
      <c r="M119" s="3">
        <v>27.817477643304301</v>
      </c>
      <c r="N119" s="3">
        <v>8.5847902099999998E-2</v>
      </c>
      <c r="O119" s="2">
        <v>100.356197554899</v>
      </c>
      <c r="P119" s="3">
        <v>2694.8649729417298</v>
      </c>
      <c r="Q119" s="3">
        <v>0.17610000000000001</v>
      </c>
      <c r="R119" s="3">
        <v>0.21390000000000001</v>
      </c>
      <c r="S119" s="3">
        <v>0.1525</v>
      </c>
      <c r="T119" s="3">
        <v>4.0950825000000002</v>
      </c>
      <c r="U119" s="2">
        <v>452.28057396415602</v>
      </c>
      <c r="V119" s="3">
        <v>5.9501584679027903</v>
      </c>
      <c r="W119" s="2">
        <v>410.96690837361302</v>
      </c>
      <c r="X119" s="2">
        <v>869.19764080567199</v>
      </c>
      <c r="Y119" s="2">
        <v>0.11568955976885401</v>
      </c>
      <c r="Z119" s="2"/>
      <c r="AA119" s="3">
        <f>Table1[[#This Row],[direct_tax]]*Table1[[#This Row],[kappa]]</f>
        <v>100.55709241693468</v>
      </c>
      <c r="AB119" s="2">
        <f>Table1[[#This Row],[direct_tax]]+Table1[[#This Row],[indirect_cost]]</f>
        <v>969.75473322260666</v>
      </c>
      <c r="AC119" s="3">
        <v>900</v>
      </c>
      <c r="AD119" s="3">
        <v>1350</v>
      </c>
      <c r="AE119" s="3">
        <v>1800</v>
      </c>
      <c r="AF119" s="3">
        <v>1080</v>
      </c>
      <c r="AG119" s="3">
        <v>1620</v>
      </c>
      <c r="AH119" s="3">
        <v>2160</v>
      </c>
      <c r="AI119" s="2">
        <v>69.754733222607598</v>
      </c>
      <c r="AJ119" s="3">
        <v>-380.24526677739198</v>
      </c>
      <c r="AK119" s="3">
        <v>-830.24526677739198</v>
      </c>
      <c r="AL119" s="3">
        <v>-110.245266777392</v>
      </c>
      <c r="AM119" s="3">
        <v>-650.24526677739198</v>
      </c>
      <c r="AN119" s="3">
        <v>-1190.24526677739</v>
      </c>
      <c r="AO119" s="2">
        <v>1.0821683774970999E-2</v>
      </c>
      <c r="AP119" s="2">
        <v>1.20736396068551E-2</v>
      </c>
      <c r="AQ119" s="3">
        <v>8.6846032398664897E-4</v>
      </c>
      <c r="AR119" s="3">
        <v>-4.73412931744761E-3</v>
      </c>
      <c r="AS119" s="3">
        <v>-1.03367189588818E-2</v>
      </c>
      <c r="AT119" s="3">
        <v>-1.37257553258705E-3</v>
      </c>
      <c r="AU119" s="3">
        <v>-8.09568310230817E-3</v>
      </c>
      <c r="AV119" s="3">
        <v>-1.48187906720292E-2</v>
      </c>
    </row>
    <row r="120" spans="1:48" x14ac:dyDescent="0.2">
      <c r="A120" t="s">
        <v>55</v>
      </c>
      <c r="B120">
        <v>2025</v>
      </c>
      <c r="C120">
        <v>0</v>
      </c>
      <c r="D120" t="s">
        <v>49</v>
      </c>
      <c r="E120" s="3">
        <v>312695</v>
      </c>
      <c r="F120" s="3">
        <v>3714</v>
      </c>
      <c r="G120" s="3">
        <v>1169</v>
      </c>
      <c r="H120" s="3">
        <v>41</v>
      </c>
      <c r="I120" s="3">
        <v>80320</v>
      </c>
      <c r="J120" s="4">
        <v>1.3190833333333301</v>
      </c>
      <c r="K120" s="2">
        <v>1.3772731481481399</v>
      </c>
      <c r="L120" s="2">
        <v>2815.59163560553</v>
      </c>
      <c r="M120" s="2">
        <v>29.768967800706498</v>
      </c>
      <c r="N120" s="3">
        <v>8.5847902099999998E-2</v>
      </c>
      <c r="O120" s="2">
        <v>100.356197554899</v>
      </c>
      <c r="P120" s="3">
        <v>2694.8649729417298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/>
      <c r="AA120" s="3">
        <f>Table1[[#This Row],[direct_tax]]*Table1[[#This Row],[kappa]]</f>
        <v>0</v>
      </c>
      <c r="AB120" s="3">
        <f>Table1[[#This Row],[direct_tax]]+Table1[[#This Row],[indirect_cost]]</f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</row>
    <row r="121" spans="1:48" x14ac:dyDescent="0.2">
      <c r="A121" t="s">
        <v>55</v>
      </c>
      <c r="B121">
        <v>2019</v>
      </c>
      <c r="C121">
        <v>20</v>
      </c>
      <c r="D121" t="s">
        <v>50</v>
      </c>
      <c r="E121" s="3">
        <v>310740</v>
      </c>
      <c r="F121" s="3">
        <v>2222</v>
      </c>
      <c r="G121" s="3">
        <v>971</v>
      </c>
      <c r="H121" s="3">
        <v>30</v>
      </c>
      <c r="I121" s="3">
        <v>96253</v>
      </c>
      <c r="J121" s="4">
        <v>1.0416666666666601</v>
      </c>
      <c r="K121" s="2">
        <v>1.1994166666666599</v>
      </c>
      <c r="L121" s="3">
        <v>2133.12</v>
      </c>
      <c r="M121" s="2">
        <v>25.012158688251201</v>
      </c>
      <c r="N121" s="3">
        <v>8.5847902099999998E-2</v>
      </c>
      <c r="O121" s="3">
        <v>83.358312939100003</v>
      </c>
      <c r="P121" s="2">
        <v>2238.42077735365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2">
        <v>0.86214978662236796</v>
      </c>
      <c r="Z121" s="2"/>
      <c r="AA121" s="3">
        <f>Table1[[#This Row],[direct_tax]]*Table1[[#This Row],[kappa]]</f>
        <v>0</v>
      </c>
      <c r="AB121" s="3">
        <f>Table1[[#This Row],[direct_tax]]+Table1[[#This Row],[indirect_cost]]</f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</row>
    <row r="122" spans="1:48" x14ac:dyDescent="0.2">
      <c r="A122" t="s">
        <v>55</v>
      </c>
      <c r="B122">
        <v>2020</v>
      </c>
      <c r="C122">
        <v>30</v>
      </c>
      <c r="D122" t="s">
        <v>50</v>
      </c>
      <c r="E122" s="3">
        <v>296182</v>
      </c>
      <c r="F122" s="3">
        <v>2080</v>
      </c>
      <c r="G122" s="3">
        <v>961.5</v>
      </c>
      <c r="H122" s="3">
        <v>37.5</v>
      </c>
      <c r="I122" s="3">
        <v>91809.5</v>
      </c>
      <c r="J122" s="3">
        <v>0.92125000000000001</v>
      </c>
      <c r="K122" s="2">
        <v>1.01843055555555</v>
      </c>
      <c r="L122" s="2">
        <v>2257.8018995929401</v>
      </c>
      <c r="M122" s="2">
        <v>36.821361844886503</v>
      </c>
      <c r="N122" s="3">
        <v>8.5847902099999998E-2</v>
      </c>
      <c r="O122" s="3">
        <v>82.542757869149995</v>
      </c>
      <c r="P122" s="2">
        <v>2216.5206770602799</v>
      </c>
      <c r="Q122" s="3">
        <v>6.6299999999999998E-2</v>
      </c>
      <c r="R122" s="3">
        <v>8.0500000000000002E-2</v>
      </c>
      <c r="S122" s="3">
        <v>5.8700000000000002E-2</v>
      </c>
      <c r="T122" s="2">
        <v>1.5762711</v>
      </c>
      <c r="U122" s="2">
        <v>149.69226594301199</v>
      </c>
      <c r="V122" s="2">
        <v>2.96411962851337</v>
      </c>
      <c r="W122" s="2">
        <v>130.10976374343801</v>
      </c>
      <c r="X122" s="2">
        <v>282.76614931496403</v>
      </c>
      <c r="Y122" s="2">
        <v>0.73773974881344895</v>
      </c>
      <c r="Z122" s="2"/>
      <c r="AA122" s="2">
        <f>Table1[[#This Row],[direct_tax]]*Table1[[#This Row],[kappa]]</f>
        <v>208.60782796856776</v>
      </c>
      <c r="AB122" s="2">
        <f>Table1[[#This Row],[direct_tax]]+Table1[[#This Row],[indirect_cost]]</f>
        <v>491.37397728353176</v>
      </c>
      <c r="AC122" s="3">
        <v>444</v>
      </c>
      <c r="AD122" s="3">
        <v>666</v>
      </c>
      <c r="AE122" s="3">
        <v>888</v>
      </c>
      <c r="AF122" s="2">
        <v>488.4</v>
      </c>
      <c r="AG122" s="3">
        <v>732.6</v>
      </c>
      <c r="AH122" s="2">
        <v>976.8</v>
      </c>
      <c r="AI122" s="2">
        <v>47.373977283532398</v>
      </c>
      <c r="AJ122" s="3">
        <v>-174.62602271646699</v>
      </c>
      <c r="AK122" s="3">
        <v>-396.62602271646699</v>
      </c>
      <c r="AL122" s="2">
        <v>2.9739772835323999</v>
      </c>
      <c r="AM122" s="3">
        <v>-241.22602271646701</v>
      </c>
      <c r="AN122" s="3">
        <v>-485.426022716467</v>
      </c>
      <c r="AO122" s="3">
        <v>3.07992254957236E-3</v>
      </c>
      <c r="AP122" s="3">
        <v>5.3521038376587596E-3</v>
      </c>
      <c r="AQ122" s="3">
        <v>5.1600299842099605E-4</v>
      </c>
      <c r="AR122" s="3">
        <v>-1.90204742119788E-3</v>
      </c>
      <c r="AS122" s="3">
        <v>-4.3200978408167697E-3</v>
      </c>
      <c r="AT122" s="6">
        <v>3.2392914497218699E-5</v>
      </c>
      <c r="AU122" s="3">
        <v>-2.62746254708355E-3</v>
      </c>
      <c r="AV122" s="3">
        <v>-5.2873180086643202E-3</v>
      </c>
    </row>
    <row r="123" spans="1:48" x14ac:dyDescent="0.2">
      <c r="A123" t="s">
        <v>55</v>
      </c>
      <c r="B123">
        <v>2021</v>
      </c>
      <c r="C123">
        <v>40</v>
      </c>
      <c r="D123" t="s">
        <v>50</v>
      </c>
      <c r="E123" s="3">
        <v>274423</v>
      </c>
      <c r="F123" s="3">
        <v>1938</v>
      </c>
      <c r="G123" s="3">
        <v>952</v>
      </c>
      <c r="H123" s="3">
        <v>45</v>
      </c>
      <c r="I123" s="3">
        <v>87366</v>
      </c>
      <c r="J123" s="4">
        <v>1.2632083333333299</v>
      </c>
      <c r="K123" s="2">
        <v>1.24137037037037</v>
      </c>
      <c r="L123" s="2">
        <v>1534.18873899132</v>
      </c>
      <c r="M123" s="2">
        <v>36.250261061550802</v>
      </c>
      <c r="N123" s="3">
        <v>8.5847902099999998E-2</v>
      </c>
      <c r="O123" s="3">
        <v>81.727202799200001</v>
      </c>
      <c r="P123" s="2">
        <v>2194.6205767669098</v>
      </c>
      <c r="Q123" s="3">
        <v>8.8400000000000006E-2</v>
      </c>
      <c r="R123" s="3">
        <v>0.10730000000000001</v>
      </c>
      <c r="S123" s="3">
        <v>7.8299999999999995E-2</v>
      </c>
      <c r="T123" s="3">
        <v>2.1025898999999999</v>
      </c>
      <c r="U123" s="2">
        <v>135.622284526833</v>
      </c>
      <c r="V123" s="2">
        <v>3.8896530119044002</v>
      </c>
      <c r="W123" s="2">
        <v>171.83879116084901</v>
      </c>
      <c r="X123" s="2">
        <v>311.35072869958702</v>
      </c>
      <c r="Y123" s="2">
        <v>0.61332971100453004</v>
      </c>
      <c r="Z123" s="2"/>
      <c r="AA123" s="2">
        <f>Table1[[#This Row],[direct_tax]]*Table1[[#This Row],[kappa]]</f>
        <v>190.96065245436753</v>
      </c>
      <c r="AB123" s="2">
        <f>Table1[[#This Row],[direct_tax]]+Table1[[#This Row],[indirect_cost]]</f>
        <v>502.31138115395458</v>
      </c>
      <c r="AC123" s="3">
        <v>490</v>
      </c>
      <c r="AD123" s="3">
        <v>735</v>
      </c>
      <c r="AE123" s="3">
        <v>981</v>
      </c>
      <c r="AF123" s="3">
        <v>539</v>
      </c>
      <c r="AG123" s="2">
        <v>808.5</v>
      </c>
      <c r="AH123" s="2">
        <v>1079.0999999999999</v>
      </c>
      <c r="AI123" s="2">
        <v>12.311381153955001</v>
      </c>
      <c r="AJ123" s="3">
        <v>-232.68861884604399</v>
      </c>
      <c r="AK123" s="3">
        <v>-478.68861884604399</v>
      </c>
      <c r="AL123" s="3">
        <v>-36.688618846044903</v>
      </c>
      <c r="AM123" s="3">
        <v>-306.18861884604502</v>
      </c>
      <c r="AN123" s="3">
        <v>-576.78861884604498</v>
      </c>
      <c r="AO123" s="3">
        <v>3.56375167341514E-3</v>
      </c>
      <c r="AP123" s="3">
        <v>5.7495064573627602E-3</v>
      </c>
      <c r="AQ123" s="3">
        <v>1.4091730368741799E-4</v>
      </c>
      <c r="AR123" s="3">
        <v>-2.66337727315025E-3</v>
      </c>
      <c r="AS123" s="3">
        <v>-5.4791179503015401E-3</v>
      </c>
      <c r="AT123" s="3">
        <v>-4.1994161168011499E-4</v>
      </c>
      <c r="AU123" s="3">
        <v>-3.5046656462015499E-3</v>
      </c>
      <c r="AV123" s="3">
        <v>-6.60198039106797E-3</v>
      </c>
    </row>
    <row r="124" spans="1:48" x14ac:dyDescent="0.2">
      <c r="A124" t="s">
        <v>55</v>
      </c>
      <c r="B124">
        <v>2022</v>
      </c>
      <c r="C124">
        <v>50</v>
      </c>
      <c r="D124" t="s">
        <v>50</v>
      </c>
      <c r="E124" s="3">
        <v>285966</v>
      </c>
      <c r="F124" s="3">
        <v>2428.5</v>
      </c>
      <c r="G124" s="3">
        <v>1193.5</v>
      </c>
      <c r="H124" s="3">
        <v>52.5</v>
      </c>
      <c r="I124" s="3">
        <v>96569</v>
      </c>
      <c r="J124" s="4">
        <v>1.5502499999999999</v>
      </c>
      <c r="K124" s="2">
        <v>1.90406481481481</v>
      </c>
      <c r="L124" s="2">
        <v>1566.5215287856699</v>
      </c>
      <c r="M124" s="2">
        <v>27.5725908023283</v>
      </c>
      <c r="N124" s="3">
        <v>8.5847902099999998E-2</v>
      </c>
      <c r="O124" s="2">
        <v>102.459471156349</v>
      </c>
      <c r="P124" s="2">
        <v>2751.3441789614599</v>
      </c>
      <c r="Q124" s="3">
        <v>0.1105</v>
      </c>
      <c r="R124" s="3">
        <v>0.1341</v>
      </c>
      <c r="S124" s="3">
        <v>9.7900000000000001E-2</v>
      </c>
      <c r="T124" s="3">
        <v>2.6289087000000002</v>
      </c>
      <c r="U124" s="2">
        <v>173.10062893081701</v>
      </c>
      <c r="V124" s="2">
        <v>3.6974844265922302</v>
      </c>
      <c r="W124" s="2">
        <v>269.35659512032697</v>
      </c>
      <c r="X124" s="2">
        <v>446.15470847773702</v>
      </c>
      <c r="Y124" s="2">
        <v>0.48891967319561103</v>
      </c>
      <c r="Z124" s="2"/>
      <c r="AA124" s="2">
        <f>Table1[[#This Row],[direct_tax]]*Table1[[#This Row],[kappa]]</f>
        <v>218.13381426361829</v>
      </c>
      <c r="AB124" s="3">
        <f>Table1[[#This Row],[direct_tax]]+Table1[[#This Row],[indirect_cost]]</f>
        <v>664.28852274135534</v>
      </c>
      <c r="AC124" s="3">
        <v>539</v>
      </c>
      <c r="AD124" s="3">
        <v>809</v>
      </c>
      <c r="AE124" s="3">
        <v>1079</v>
      </c>
      <c r="AF124" s="2">
        <v>592.9</v>
      </c>
      <c r="AG124" s="2">
        <v>889.9</v>
      </c>
      <c r="AH124" s="3">
        <v>1186.9000000000001</v>
      </c>
      <c r="AI124" s="2">
        <v>125.288522741356</v>
      </c>
      <c r="AJ124" s="3">
        <v>-144.71147725864299</v>
      </c>
      <c r="AK124" s="3">
        <v>-414.71147725864398</v>
      </c>
      <c r="AL124" s="2">
        <v>71.388522741355899</v>
      </c>
      <c r="AM124" s="3">
        <v>-225.61147725864399</v>
      </c>
      <c r="AN124" s="3">
        <v>-522.61147725864396</v>
      </c>
      <c r="AO124" s="3">
        <v>4.6200613911062203E-3</v>
      </c>
      <c r="AP124" s="3">
        <v>6.8789002965895397E-3</v>
      </c>
      <c r="AQ124" s="3">
        <v>1.29739898664536E-3</v>
      </c>
      <c r="AR124" s="3">
        <v>-1.4985293133266699E-3</v>
      </c>
      <c r="AS124" s="3">
        <v>-4.2944576132987102E-3</v>
      </c>
      <c r="AT124" s="3">
        <v>7.3924885565094297E-4</v>
      </c>
      <c r="AU124" s="3">
        <v>-2.3362722743183002E-3</v>
      </c>
      <c r="AV124" s="3">
        <v>-5.4117934042875399E-3</v>
      </c>
    </row>
    <row r="125" spans="1:48" x14ac:dyDescent="0.2">
      <c r="A125" t="s">
        <v>55</v>
      </c>
      <c r="B125">
        <v>2023</v>
      </c>
      <c r="C125">
        <v>65</v>
      </c>
      <c r="D125" t="s">
        <v>50</v>
      </c>
      <c r="E125" s="3">
        <v>280407</v>
      </c>
      <c r="F125" s="3">
        <v>2919</v>
      </c>
      <c r="G125" s="3">
        <v>1435</v>
      </c>
      <c r="H125" s="3">
        <v>60</v>
      </c>
      <c r="I125" s="3">
        <v>105772</v>
      </c>
      <c r="J125" s="4">
        <v>1.3554166666666601</v>
      </c>
      <c r="K125" s="2">
        <v>1.7136805555555501</v>
      </c>
      <c r="L125" s="2">
        <v>2153.5813095603999</v>
      </c>
      <c r="M125" s="2">
        <v>35.012359687158003</v>
      </c>
      <c r="N125" s="3">
        <v>8.5847902099999998E-2</v>
      </c>
      <c r="O125" s="3">
        <v>123.1917395135</v>
      </c>
      <c r="P125" s="2">
        <v>3308.0677811560099</v>
      </c>
      <c r="Q125" s="3">
        <v>0.1431</v>
      </c>
      <c r="R125" s="3">
        <v>0.17380000000000001</v>
      </c>
      <c r="S125" s="3">
        <v>0.1239</v>
      </c>
      <c r="T125" s="3">
        <v>3.3270867000000002</v>
      </c>
      <c r="U125" s="2">
        <v>308.17748539809401</v>
      </c>
      <c r="V125" s="2">
        <v>6.0851481136280698</v>
      </c>
      <c r="W125" s="2">
        <v>409.86959808523</v>
      </c>
      <c r="X125" s="2">
        <v>724.13223159695201</v>
      </c>
      <c r="Y125" s="2">
        <v>0.302304616482232</v>
      </c>
      <c r="Z125" s="2"/>
      <c r="AA125" s="2">
        <f>Table1[[#This Row],[direct_tax]]*Table1[[#This Row],[kappa]]</f>
        <v>218.90851655533939</v>
      </c>
      <c r="AB125" s="2">
        <f>Table1[[#This Row],[direct_tax]]+Table1[[#This Row],[indirect_cost]]</f>
        <v>943.04074815229137</v>
      </c>
      <c r="AC125" s="3">
        <v>772</v>
      </c>
      <c r="AD125" s="3">
        <v>1158</v>
      </c>
      <c r="AE125" s="3">
        <v>1544</v>
      </c>
      <c r="AF125" s="3">
        <v>849.2</v>
      </c>
      <c r="AG125" s="2">
        <v>1273.8</v>
      </c>
      <c r="AH125" s="3">
        <v>1698.4</v>
      </c>
      <c r="AI125" s="2">
        <v>171.040748152292</v>
      </c>
      <c r="AJ125" s="3">
        <v>-214.95925184770701</v>
      </c>
      <c r="AK125" s="3">
        <v>-600.95925184770704</v>
      </c>
      <c r="AL125" s="3">
        <v>93.840748152292804</v>
      </c>
      <c r="AM125" s="3">
        <v>-330.75925184770699</v>
      </c>
      <c r="AN125" s="3">
        <v>-755.35925184770701</v>
      </c>
      <c r="AO125" s="3">
        <v>6.8461618537699201E-3</v>
      </c>
      <c r="AP125" s="3">
        <v>8.9157881873491301E-3</v>
      </c>
      <c r="AQ125" s="3">
        <v>1.6170701901476001E-3</v>
      </c>
      <c r="AR125" s="3">
        <v>-2.0322888084531501E-3</v>
      </c>
      <c r="AS125" s="3">
        <v>-5.6816478070539104E-3</v>
      </c>
      <c r="AT125" s="3">
        <v>8.8719839042745497E-4</v>
      </c>
      <c r="AU125" s="3">
        <v>-3.1270965080333799E-3</v>
      </c>
      <c r="AV125" s="3">
        <v>-7.1413914064942198E-3</v>
      </c>
    </row>
    <row r="126" spans="1:48" x14ac:dyDescent="0.2">
      <c r="A126" t="s">
        <v>55</v>
      </c>
      <c r="B126">
        <v>2024</v>
      </c>
      <c r="C126">
        <v>80</v>
      </c>
      <c r="D126" t="s">
        <v>50</v>
      </c>
      <c r="E126" s="3">
        <v>267815</v>
      </c>
      <c r="F126" s="3">
        <v>2919</v>
      </c>
      <c r="G126" s="3">
        <v>1435</v>
      </c>
      <c r="H126" s="3">
        <v>60</v>
      </c>
      <c r="I126" s="3">
        <v>105772</v>
      </c>
      <c r="J126" s="4">
        <v>1.4460833333333301</v>
      </c>
      <c r="K126" s="2">
        <v>1.47389351851851</v>
      </c>
      <c r="L126" s="2">
        <v>2018.5558693021301</v>
      </c>
      <c r="M126" s="3">
        <v>40.708503868250197</v>
      </c>
      <c r="N126" s="3">
        <v>8.5847902099999998E-2</v>
      </c>
      <c r="O126" s="3">
        <v>123.1917395135</v>
      </c>
      <c r="P126" s="2">
        <v>3308.0677811560099</v>
      </c>
      <c r="Q126" s="3">
        <v>0.17610000000000001</v>
      </c>
      <c r="R126" s="3">
        <v>0.21390000000000001</v>
      </c>
      <c r="S126" s="3">
        <v>0.1525</v>
      </c>
      <c r="T126" s="3">
        <v>4.0950825000000002</v>
      </c>
      <c r="U126" s="2">
        <v>355.46768858410599</v>
      </c>
      <c r="V126" s="2">
        <v>8.7075489774187105</v>
      </c>
      <c r="W126" s="2">
        <v>504.480336626292</v>
      </c>
      <c r="X126" s="2">
        <v>868.65557418781702</v>
      </c>
      <c r="Y126" s="2">
        <v>0.11568955976885401</v>
      </c>
      <c r="Z126" s="2"/>
      <c r="AA126" s="2">
        <f>Table1[[#This Row],[direct_tax]]*Table1[[#This Row],[kappa]]</f>
        <v>100.49438096854965</v>
      </c>
      <c r="AB126" s="2">
        <f>Table1[[#This Row],[direct_tax]]+Table1[[#This Row],[indirect_cost]]</f>
        <v>969.14995515636667</v>
      </c>
      <c r="AC126" s="3">
        <v>900</v>
      </c>
      <c r="AD126" s="3">
        <v>1350</v>
      </c>
      <c r="AE126" s="3">
        <v>1800</v>
      </c>
      <c r="AF126" s="3">
        <v>1080</v>
      </c>
      <c r="AG126" s="3">
        <v>1620</v>
      </c>
      <c r="AH126" s="3">
        <v>2160</v>
      </c>
      <c r="AI126" s="2">
        <v>69.149955156367497</v>
      </c>
      <c r="AJ126" s="3">
        <v>-380.85004484363202</v>
      </c>
      <c r="AK126" s="3">
        <v>-830.85004484363196</v>
      </c>
      <c r="AL126" s="3">
        <v>-110.85004484363201</v>
      </c>
      <c r="AM126" s="3">
        <v>-650.85004484363196</v>
      </c>
      <c r="AN126" s="3">
        <v>-1190.85004484363</v>
      </c>
      <c r="AO126" s="3">
        <v>8.2125285915726001E-3</v>
      </c>
      <c r="AP126" s="3">
        <v>9.1626324089207692E-3</v>
      </c>
      <c r="AQ126" s="3">
        <v>6.5376427746821001E-4</v>
      </c>
      <c r="AR126" s="3">
        <v>-3.6006697882580599E-3</v>
      </c>
      <c r="AS126" s="3">
        <v>-7.8551038539843403E-3</v>
      </c>
      <c r="AT126" s="3">
        <v>-1.0480093488223E-3</v>
      </c>
      <c r="AU126" s="3">
        <v>-6.1533302276938302E-3</v>
      </c>
      <c r="AV126" s="3">
        <v>-1.12586511065653E-2</v>
      </c>
    </row>
    <row r="127" spans="1:48" x14ac:dyDescent="0.2">
      <c r="A127" t="s">
        <v>55</v>
      </c>
      <c r="B127">
        <v>2025</v>
      </c>
      <c r="C127">
        <v>0</v>
      </c>
      <c r="D127" t="s">
        <v>50</v>
      </c>
      <c r="E127" s="3">
        <v>267815</v>
      </c>
      <c r="F127" s="3">
        <v>2919</v>
      </c>
      <c r="G127" s="3">
        <v>1435</v>
      </c>
      <c r="H127" s="3">
        <v>60</v>
      </c>
      <c r="I127" s="3">
        <v>105772</v>
      </c>
      <c r="J127" s="4">
        <v>1.3190833333333301</v>
      </c>
      <c r="K127" s="2">
        <v>1.3772731481481399</v>
      </c>
      <c r="L127" s="2">
        <v>2212.9003727335898</v>
      </c>
      <c r="M127" s="2">
        <v>43.5643431229852</v>
      </c>
      <c r="N127" s="3">
        <v>8.5847902099999998E-2</v>
      </c>
      <c r="O127" s="3">
        <v>123.1917395135</v>
      </c>
      <c r="P127" s="2">
        <v>3308.0677811560099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/>
      <c r="AA127" s="3">
        <f>Table1[[#This Row],[direct_tax]]*Table1[[#This Row],[kappa]]</f>
        <v>0</v>
      </c>
      <c r="AB127" s="3">
        <f>Table1[[#This Row],[direct_tax]]+Table1[[#This Row],[indirect_cost]]</f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</row>
    <row r="128" spans="1:48" x14ac:dyDescent="0.2">
      <c r="A128" t="s">
        <v>55</v>
      </c>
      <c r="B128">
        <v>2019</v>
      </c>
      <c r="C128">
        <v>20</v>
      </c>
      <c r="D128" t="s">
        <v>51</v>
      </c>
      <c r="E128" s="3">
        <v>351339</v>
      </c>
      <c r="F128" s="3">
        <v>3804</v>
      </c>
      <c r="G128" s="3">
        <v>1167</v>
      </c>
      <c r="H128" s="3">
        <v>46</v>
      </c>
      <c r="I128" s="3">
        <v>125637</v>
      </c>
      <c r="J128" s="4">
        <v>1.0416666666666601</v>
      </c>
      <c r="K128" s="2">
        <v>1.1994166666666599</v>
      </c>
      <c r="L128" s="2">
        <v>3651.8399999999901</v>
      </c>
      <c r="M128" s="2">
        <v>38.351976655318502</v>
      </c>
      <c r="N128" s="3">
        <v>8.5847902099999998E-2</v>
      </c>
      <c r="O128" s="3">
        <v>100.18450175069999</v>
      </c>
      <c r="P128" s="2">
        <v>2690.2544255115399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2">
        <v>0.86214978662236796</v>
      </c>
      <c r="Z128" s="2"/>
      <c r="AA128" s="3">
        <f>Table1[[#This Row],[direct_tax]]*Table1[[#This Row],[kappa]]</f>
        <v>0</v>
      </c>
      <c r="AB128" s="3">
        <f>Table1[[#This Row],[direct_tax]]+Table1[[#This Row],[indirect_cost]]</f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</row>
    <row r="129" spans="1:48" x14ac:dyDescent="0.2">
      <c r="A129" t="s">
        <v>55</v>
      </c>
      <c r="B129">
        <v>2020</v>
      </c>
      <c r="C129">
        <v>30</v>
      </c>
      <c r="D129" t="s">
        <v>51</v>
      </c>
      <c r="E129" s="3">
        <v>362951</v>
      </c>
      <c r="F129" s="3">
        <v>3145</v>
      </c>
      <c r="G129" s="3">
        <v>1249.5</v>
      </c>
      <c r="H129" s="3">
        <v>62.5</v>
      </c>
      <c r="I129" s="3">
        <v>124584</v>
      </c>
      <c r="J129" s="3">
        <v>0.92125000000000001</v>
      </c>
      <c r="K129" s="2">
        <v>1.01843055555555</v>
      </c>
      <c r="L129" s="2">
        <v>3413.8398914518302</v>
      </c>
      <c r="M129" s="2">
        <v>61.3689364081443</v>
      </c>
      <c r="N129" s="3">
        <v>8.5847902099999998E-2</v>
      </c>
      <c r="O129" s="3">
        <v>107.26695367395</v>
      </c>
      <c r="P129" s="2">
        <v>2880.4395070065698</v>
      </c>
      <c r="Q129" s="3">
        <v>6.6299999999999998E-2</v>
      </c>
      <c r="R129" s="3">
        <v>8.0500000000000002E-2</v>
      </c>
      <c r="S129" s="3">
        <v>5.8700000000000002E-2</v>
      </c>
      <c r="T129" s="2">
        <v>1.5762711</v>
      </c>
      <c r="U129" s="2">
        <v>226.33758480325599</v>
      </c>
      <c r="V129" s="2">
        <v>4.9401993808556099</v>
      </c>
      <c r="W129" s="2">
        <v>169.08179906128601</v>
      </c>
      <c r="X129" s="2">
        <v>400.35958324539803</v>
      </c>
      <c r="Y129" s="2">
        <v>0.73773974881344895</v>
      </c>
      <c r="Z129" s="2"/>
      <c r="AA129" s="2">
        <f>Table1[[#This Row],[direct_tax]]*Table1[[#This Row],[kappa]]</f>
        <v>295.36117837851702</v>
      </c>
      <c r="AB129" s="2">
        <f>Table1[[#This Row],[direct_tax]]+Table1[[#This Row],[indirect_cost]]</f>
        <v>695.720761623915</v>
      </c>
      <c r="AC129" s="3">
        <v>444</v>
      </c>
      <c r="AD129" s="3">
        <v>666</v>
      </c>
      <c r="AE129" s="3">
        <v>888</v>
      </c>
      <c r="AF129" s="2">
        <v>488.4</v>
      </c>
      <c r="AG129" s="3">
        <v>732.6</v>
      </c>
      <c r="AH129" s="2">
        <v>976.8</v>
      </c>
      <c r="AI129" s="2">
        <v>251.720761623915</v>
      </c>
      <c r="AJ129" s="2">
        <v>29.720761623915699</v>
      </c>
      <c r="AK129" s="3">
        <v>-192.27923837608401</v>
      </c>
      <c r="AL129" s="2">
        <v>207.32076162391499</v>
      </c>
      <c r="AM129" s="3">
        <v>-36.879238376084203</v>
      </c>
      <c r="AN129" s="3">
        <v>-281.07923837608399</v>
      </c>
      <c r="AO129" s="3">
        <v>3.2135714316878401E-3</v>
      </c>
      <c r="AP129" s="3">
        <v>5.5843508124953098E-3</v>
      </c>
      <c r="AQ129" s="3">
        <v>2.0204902846586701E-3</v>
      </c>
      <c r="AR129" s="3">
        <v>2.3856002074035E-4</v>
      </c>
      <c r="AS129" s="3">
        <v>-1.54337024317797E-3</v>
      </c>
      <c r="AT129" s="3">
        <v>1.6641042318749999E-3</v>
      </c>
      <c r="AU129" s="3">
        <v>-2.96019058435146E-4</v>
      </c>
      <c r="AV129" s="3">
        <v>-2.2561423487452901E-3</v>
      </c>
    </row>
    <row r="130" spans="1:48" x14ac:dyDescent="0.2">
      <c r="A130" t="s">
        <v>55</v>
      </c>
      <c r="B130">
        <v>2021</v>
      </c>
      <c r="C130">
        <v>40</v>
      </c>
      <c r="D130" t="s">
        <v>51</v>
      </c>
      <c r="E130" s="3">
        <v>374880</v>
      </c>
      <c r="F130" s="3">
        <v>2486</v>
      </c>
      <c r="G130" s="3">
        <v>1332</v>
      </c>
      <c r="H130" s="3">
        <v>79</v>
      </c>
      <c r="I130" s="3">
        <v>123531</v>
      </c>
      <c r="J130" s="4">
        <v>1.2632083333333299</v>
      </c>
      <c r="K130" s="2">
        <v>1.24137037037037</v>
      </c>
      <c r="L130" s="2">
        <v>1968.0047498103299</v>
      </c>
      <c r="M130" s="2">
        <v>63.639347196944797</v>
      </c>
      <c r="N130" s="3">
        <v>8.5847902099999998E-2</v>
      </c>
      <c r="O130" s="3">
        <v>114.3494055972</v>
      </c>
      <c r="P130" s="2">
        <v>3070.6245885016101</v>
      </c>
      <c r="Q130" s="3">
        <v>8.8400000000000006E-2</v>
      </c>
      <c r="R130" s="3">
        <v>0.10730000000000001</v>
      </c>
      <c r="S130" s="3">
        <v>7.8299999999999995E-2</v>
      </c>
      <c r="T130" s="3">
        <v>2.1025898999999999</v>
      </c>
      <c r="U130" s="2">
        <v>173.97161988323299</v>
      </c>
      <c r="V130" s="2">
        <v>6.8285019542321796</v>
      </c>
      <c r="W130" s="2">
        <v>240.42990527967601</v>
      </c>
      <c r="X130" s="2">
        <v>421.23002711714201</v>
      </c>
      <c r="Y130" s="2">
        <v>0.61332971100453004</v>
      </c>
      <c r="Z130" s="2"/>
      <c r="AA130" s="2">
        <f>Table1[[#This Row],[direct_tax]]*Table1[[#This Row],[kappa]]</f>
        <v>258.35289079818705</v>
      </c>
      <c r="AB130" s="2">
        <f>Table1[[#This Row],[direct_tax]]+Table1[[#This Row],[indirect_cost]]</f>
        <v>679.58291791532906</v>
      </c>
      <c r="AC130" s="3">
        <v>490</v>
      </c>
      <c r="AD130" s="3">
        <v>735</v>
      </c>
      <c r="AE130" s="3">
        <v>981</v>
      </c>
      <c r="AF130" s="3">
        <v>539</v>
      </c>
      <c r="AG130" s="2">
        <v>808.5</v>
      </c>
      <c r="AH130" s="2">
        <v>1079.0999999999999</v>
      </c>
      <c r="AI130" s="2">
        <v>189.58291791532901</v>
      </c>
      <c r="AJ130" s="3">
        <v>-55.417082084670298</v>
      </c>
      <c r="AK130" s="3">
        <v>-301.41708208467003</v>
      </c>
      <c r="AL130" s="2">
        <v>140.58291791532901</v>
      </c>
      <c r="AM130" s="3">
        <v>-128.91708208467</v>
      </c>
      <c r="AN130" s="3">
        <v>-399.51708208466999</v>
      </c>
      <c r="AO130" s="3">
        <v>3.4099135206316E-3</v>
      </c>
      <c r="AP130" s="3">
        <v>5.5013147947910197E-3</v>
      </c>
      <c r="AQ130" s="3">
        <v>1.5346991274686401E-3</v>
      </c>
      <c r="AR130" s="3">
        <v>-4.4860870619253698E-4</v>
      </c>
      <c r="AS130" s="3">
        <v>-2.4400116738686598E-3</v>
      </c>
      <c r="AT130" s="3">
        <v>1.1380375607364099E-3</v>
      </c>
      <c r="AU130" s="3">
        <v>-1.04360105629089E-3</v>
      </c>
      <c r="AV130" s="3">
        <v>-3.2341443207346298E-3</v>
      </c>
    </row>
    <row r="131" spans="1:48" x14ac:dyDescent="0.2">
      <c r="A131" t="s">
        <v>55</v>
      </c>
      <c r="B131">
        <v>2022</v>
      </c>
      <c r="C131">
        <v>50</v>
      </c>
      <c r="D131" t="s">
        <v>51</v>
      </c>
      <c r="E131" s="3">
        <v>361048</v>
      </c>
      <c r="F131" s="3">
        <v>3069</v>
      </c>
      <c r="G131" s="3">
        <v>1340.5</v>
      </c>
      <c r="H131" s="3">
        <v>73</v>
      </c>
      <c r="I131" s="3">
        <v>126419</v>
      </c>
      <c r="J131" s="4">
        <v>1.5502499999999999</v>
      </c>
      <c r="K131" s="2">
        <v>1.90406481481481</v>
      </c>
      <c r="L131" s="2">
        <v>1979.6806966618201</v>
      </c>
      <c r="M131" s="2">
        <v>38.339031020380297</v>
      </c>
      <c r="N131" s="3">
        <v>8.5847902099999998E-2</v>
      </c>
      <c r="O131" s="3">
        <v>115.07911276505</v>
      </c>
      <c r="P131" s="2">
        <v>3090.21941507988</v>
      </c>
      <c r="Q131" s="3">
        <v>0.1105</v>
      </c>
      <c r="R131" s="3">
        <v>0.1341</v>
      </c>
      <c r="S131" s="3">
        <v>9.7900000000000001E-2</v>
      </c>
      <c r="T131" s="3">
        <v>2.6289087000000002</v>
      </c>
      <c r="U131" s="2">
        <v>218.75471698113199</v>
      </c>
      <c r="V131" s="2">
        <v>5.1412640598330004</v>
      </c>
      <c r="W131" s="3">
        <v>302.53248073632102</v>
      </c>
      <c r="X131" s="2">
        <v>526.42846177728597</v>
      </c>
      <c r="Y131" s="2">
        <v>0.48891967319561103</v>
      </c>
      <c r="Z131" s="2"/>
      <c r="AA131" s="2">
        <f>Table1[[#This Row],[direct_tax]]*Table1[[#This Row],[kappa]]</f>
        <v>257.38123149301884</v>
      </c>
      <c r="AB131" s="2">
        <f>Table1[[#This Row],[direct_tax]]+Table1[[#This Row],[indirect_cost]]</f>
        <v>783.80969327030482</v>
      </c>
      <c r="AC131" s="3">
        <v>539</v>
      </c>
      <c r="AD131" s="3">
        <v>809</v>
      </c>
      <c r="AE131" s="3">
        <v>1079</v>
      </c>
      <c r="AF131" s="2">
        <v>592.9</v>
      </c>
      <c r="AG131" s="2">
        <v>889.9</v>
      </c>
      <c r="AH131" s="3">
        <v>1186.9000000000001</v>
      </c>
      <c r="AI131" s="2">
        <v>244.80969327030499</v>
      </c>
      <c r="AJ131" s="3">
        <v>-25.1903067296948</v>
      </c>
      <c r="AK131" s="3">
        <v>-295.19030672969399</v>
      </c>
      <c r="AL131" s="2">
        <v>190.90969327030501</v>
      </c>
      <c r="AM131" s="3">
        <v>-106.09030672969401</v>
      </c>
      <c r="AN131" s="3">
        <v>-403.09030672969402</v>
      </c>
      <c r="AO131" s="3">
        <v>4.1641561931140504E-3</v>
      </c>
      <c r="AP131" s="3">
        <v>6.2000940781868604E-3</v>
      </c>
      <c r="AQ131" s="3">
        <v>1.9364944610407E-3</v>
      </c>
      <c r="AR131" s="3">
        <v>-1.9926044921803499E-4</v>
      </c>
      <c r="AS131" s="3">
        <v>-2.3350153594767701E-3</v>
      </c>
      <c r="AT131" s="3">
        <v>1.51013449932609E-3</v>
      </c>
      <c r="AU131" s="3">
        <v>-8.3919590195852603E-4</v>
      </c>
      <c r="AV131" s="3">
        <v>-3.1885263032431399E-3</v>
      </c>
    </row>
    <row r="132" spans="1:48" x14ac:dyDescent="0.2">
      <c r="A132" t="s">
        <v>55</v>
      </c>
      <c r="B132">
        <v>2023</v>
      </c>
      <c r="C132">
        <v>65</v>
      </c>
      <c r="D132" t="s">
        <v>51</v>
      </c>
      <c r="E132" s="3">
        <v>403911</v>
      </c>
      <c r="F132" s="3">
        <v>3652</v>
      </c>
      <c r="G132" s="3">
        <v>1349</v>
      </c>
      <c r="H132" s="3">
        <v>67</v>
      </c>
      <c r="I132" s="3">
        <v>129307</v>
      </c>
      <c r="J132" s="4">
        <v>1.3554166666666601</v>
      </c>
      <c r="K132" s="2">
        <v>1.7136805555555501</v>
      </c>
      <c r="L132" s="2">
        <v>2694.3744236089701</v>
      </c>
      <c r="M132" s="2">
        <v>39.097134983993101</v>
      </c>
      <c r="N132" s="3">
        <v>8.5847902099999998E-2</v>
      </c>
      <c r="O132" s="3">
        <v>115.80881993289999</v>
      </c>
      <c r="P132" s="2">
        <v>3109.81424165816</v>
      </c>
      <c r="Q132" s="3">
        <v>0.1431</v>
      </c>
      <c r="R132" s="3">
        <v>0.17380000000000001</v>
      </c>
      <c r="S132" s="3">
        <v>0.1239</v>
      </c>
      <c r="T132" s="3">
        <v>3.3270867000000002</v>
      </c>
      <c r="U132" s="2">
        <v>385.56498001844398</v>
      </c>
      <c r="V132" s="2">
        <v>6.79508206021801</v>
      </c>
      <c r="W132" s="2">
        <v>385.30598454144598</v>
      </c>
      <c r="X132" s="3">
        <v>777.666046620109</v>
      </c>
      <c r="Y132" s="2">
        <v>0.302304616482232</v>
      </c>
      <c r="Z132" s="2"/>
      <c r="AA132" s="2">
        <f>Table1[[#This Row],[direct_tax]]*Table1[[#This Row],[kappa]]</f>
        <v>235.09203597474561</v>
      </c>
      <c r="AB132" s="2">
        <f>Table1[[#This Row],[direct_tax]]+Table1[[#This Row],[indirect_cost]]</f>
        <v>1012.7580825948546</v>
      </c>
      <c r="AC132" s="3">
        <v>772</v>
      </c>
      <c r="AD132" s="3">
        <v>1158</v>
      </c>
      <c r="AE132" s="3">
        <v>1544</v>
      </c>
      <c r="AF132" s="3">
        <v>849.2</v>
      </c>
      <c r="AG132" s="2">
        <v>1273.8</v>
      </c>
      <c r="AH132" s="3">
        <v>1698.4</v>
      </c>
      <c r="AI132" s="2">
        <v>240.75808259485501</v>
      </c>
      <c r="AJ132" s="3">
        <v>-145.24191740514399</v>
      </c>
      <c r="AK132" s="3">
        <v>-531.24191740514402</v>
      </c>
      <c r="AL132" s="2">
        <v>163.55808259485499</v>
      </c>
      <c r="AM132" s="3">
        <v>-261.04191740514398</v>
      </c>
      <c r="AN132" s="3">
        <v>-685.641917405144</v>
      </c>
      <c r="AO132" s="3">
        <v>6.01410632541246E-3</v>
      </c>
      <c r="AP132" s="3">
        <v>7.83219843159964E-3</v>
      </c>
      <c r="AQ132" s="3">
        <v>1.86191066682279E-3</v>
      </c>
      <c r="AR132" s="3">
        <v>-1.12323321556562E-3</v>
      </c>
      <c r="AS132" s="3">
        <v>-4.1083770979540501E-3</v>
      </c>
      <c r="AT132" s="3">
        <v>1.26488189034511E-3</v>
      </c>
      <c r="AU132" s="3">
        <v>-2.0187763802821499E-3</v>
      </c>
      <c r="AV132" s="3">
        <v>-5.3024346509094201E-3</v>
      </c>
    </row>
    <row r="133" spans="1:48" x14ac:dyDescent="0.2">
      <c r="A133" t="s">
        <v>55</v>
      </c>
      <c r="B133">
        <v>2024</v>
      </c>
      <c r="C133">
        <v>80</v>
      </c>
      <c r="D133" t="s">
        <v>51</v>
      </c>
      <c r="E133" s="3">
        <v>430406</v>
      </c>
      <c r="F133" s="3">
        <v>3652</v>
      </c>
      <c r="G133" s="3">
        <v>1349</v>
      </c>
      <c r="H133" s="3">
        <v>67</v>
      </c>
      <c r="I133" s="3">
        <v>129307</v>
      </c>
      <c r="J133" s="4">
        <v>1.4460833333333301</v>
      </c>
      <c r="K133" s="2">
        <v>1.47389351851851</v>
      </c>
      <c r="L133" s="2">
        <v>2525.4422866363102</v>
      </c>
      <c r="M133" s="2">
        <v>45.457829319546001</v>
      </c>
      <c r="N133" s="3">
        <v>8.5847902099999998E-2</v>
      </c>
      <c r="O133" s="3">
        <v>115.80881993289999</v>
      </c>
      <c r="P133" s="2">
        <v>3109.81424165816</v>
      </c>
      <c r="Q133" s="3">
        <v>0.17610000000000001</v>
      </c>
      <c r="R133" s="3">
        <v>0.21390000000000001</v>
      </c>
      <c r="S133" s="3">
        <v>0.1525</v>
      </c>
      <c r="T133" s="3">
        <v>4.0950825000000002</v>
      </c>
      <c r="U133" s="2">
        <v>444.73038667665497</v>
      </c>
      <c r="V133" s="2">
        <v>9.7234296914508995</v>
      </c>
      <c r="W133" s="2">
        <v>474.24667185286899</v>
      </c>
      <c r="X133" s="2">
        <v>928.70048822097601</v>
      </c>
      <c r="Y133" s="2">
        <v>0.11568955976885401</v>
      </c>
      <c r="Z133" s="2"/>
      <c r="AA133" s="2">
        <f>Table1[[#This Row],[direct_tax]]*Table1[[#This Row],[kappa]]</f>
        <v>107.44095063940451</v>
      </c>
      <c r="AB133" s="2">
        <f>Table1[[#This Row],[direct_tax]]+Table1[[#This Row],[indirect_cost]]</f>
        <v>1036.1414388603805</v>
      </c>
      <c r="AC133" s="3">
        <v>900</v>
      </c>
      <c r="AD133" s="3">
        <v>1350</v>
      </c>
      <c r="AE133" s="3">
        <v>1800</v>
      </c>
      <c r="AF133" s="3">
        <v>1080</v>
      </c>
      <c r="AG133" s="3">
        <v>1620</v>
      </c>
      <c r="AH133" s="3">
        <v>2160</v>
      </c>
      <c r="AI133" s="2">
        <v>136.14143886037999</v>
      </c>
      <c r="AJ133" s="3">
        <v>-313.85856113961898</v>
      </c>
      <c r="AK133" s="3">
        <v>-763.85856113961904</v>
      </c>
      <c r="AL133" s="3">
        <v>-43.858561139618999</v>
      </c>
      <c r="AM133" s="3">
        <v>-583.85856113961904</v>
      </c>
      <c r="AN133" s="3">
        <v>-1123.8585611396099</v>
      </c>
      <c r="AO133" s="3">
        <v>7.1821362201657697E-3</v>
      </c>
      <c r="AP133" s="3">
        <v>8.0130343976766993E-3</v>
      </c>
      <c r="AQ133" s="3">
        <v>1.0528543610197501E-3</v>
      </c>
      <c r="AR133" s="3">
        <v>-2.4272356573087198E-3</v>
      </c>
      <c r="AS133" s="3">
        <v>-5.90732567563719E-3</v>
      </c>
      <c r="AT133" s="3">
        <v>-3.3918164631163797E-4</v>
      </c>
      <c r="AU133" s="3">
        <v>-4.5152896683058E-3</v>
      </c>
      <c r="AV133" s="3">
        <v>-8.69139769029997E-3</v>
      </c>
    </row>
    <row r="134" spans="1:48" x14ac:dyDescent="0.2">
      <c r="A134" t="s">
        <v>55</v>
      </c>
      <c r="B134">
        <v>2025</v>
      </c>
      <c r="C134">
        <v>0</v>
      </c>
      <c r="D134" t="s">
        <v>51</v>
      </c>
      <c r="E134" s="3">
        <v>430406</v>
      </c>
      <c r="F134" s="3">
        <v>3652</v>
      </c>
      <c r="G134" s="3">
        <v>1349</v>
      </c>
      <c r="H134" s="3">
        <v>67</v>
      </c>
      <c r="I134" s="3">
        <v>129307</v>
      </c>
      <c r="J134" s="4">
        <v>1.3190833333333301</v>
      </c>
      <c r="K134" s="2">
        <v>1.3772731481481399</v>
      </c>
      <c r="L134" s="2">
        <v>2768.5892981236898</v>
      </c>
      <c r="M134" s="2">
        <v>48.646849820666802</v>
      </c>
      <c r="N134" s="3">
        <v>8.5847902099999998E-2</v>
      </c>
      <c r="O134" s="3">
        <v>115.80881993289999</v>
      </c>
      <c r="P134" s="2">
        <v>3109.81424165816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/>
      <c r="AA134" s="3">
        <f>Table1[[#This Row],[direct_tax]]*Table1[[#This Row],[kappa]]</f>
        <v>0</v>
      </c>
      <c r="AB134" s="3">
        <f>Table1[[#This Row],[direct_tax]]+Table1[[#This Row],[indirect_cost]]</f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</row>
    <row r="135" spans="1:48" x14ac:dyDescent="0.2">
      <c r="A135" t="s">
        <v>55</v>
      </c>
      <c r="B135">
        <v>2019</v>
      </c>
      <c r="C135">
        <v>20</v>
      </c>
      <c r="D135" t="s">
        <v>52</v>
      </c>
      <c r="E135" s="3">
        <v>566337</v>
      </c>
      <c r="F135" s="3">
        <v>2608</v>
      </c>
      <c r="G135" s="3">
        <v>1447</v>
      </c>
      <c r="H135" s="3">
        <v>38</v>
      </c>
      <c r="I135" s="3">
        <v>221396</v>
      </c>
      <c r="J135" s="4">
        <v>1.0416666666666601</v>
      </c>
      <c r="K135" s="2">
        <v>1.1994166666666599</v>
      </c>
      <c r="L135" s="3">
        <v>2503.6799999999998</v>
      </c>
      <c r="M135" s="2">
        <v>31.6820676717848</v>
      </c>
      <c r="N135" s="3">
        <v>8.5847902099999998E-2</v>
      </c>
      <c r="O135" s="3">
        <v>124.2219143387</v>
      </c>
      <c r="P135" s="2">
        <v>3335.7310657371099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2">
        <v>0.86214978662236796</v>
      </c>
      <c r="Z135" s="2"/>
      <c r="AA135" s="3">
        <f>Table1[[#This Row],[direct_tax]]*Table1[[#This Row],[kappa]]</f>
        <v>0</v>
      </c>
      <c r="AB135" s="3">
        <f>Table1[[#This Row],[direct_tax]]+Table1[[#This Row],[indirect_cost]]</f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</row>
    <row r="136" spans="1:48" x14ac:dyDescent="0.2">
      <c r="A136" t="s">
        <v>55</v>
      </c>
      <c r="B136">
        <v>2020</v>
      </c>
      <c r="C136">
        <v>30</v>
      </c>
      <c r="D136" t="s">
        <v>52</v>
      </c>
      <c r="E136" s="3">
        <v>564635</v>
      </c>
      <c r="F136" s="3">
        <v>2682.5</v>
      </c>
      <c r="G136" s="3">
        <v>1466.5</v>
      </c>
      <c r="H136" s="3">
        <v>69.5</v>
      </c>
      <c r="I136" s="3">
        <v>207955.5</v>
      </c>
      <c r="J136" s="3">
        <v>0.92125000000000001</v>
      </c>
      <c r="K136" s="2">
        <v>1.01843055555555</v>
      </c>
      <c r="L136" s="2">
        <v>2911.8046132971499</v>
      </c>
      <c r="M136" s="3">
        <v>68.242257285856496</v>
      </c>
      <c r="N136" s="3">
        <v>8.5847902099999998E-2</v>
      </c>
      <c r="O136" s="2">
        <v>125.895948429649</v>
      </c>
      <c r="P136" s="2">
        <v>3380.6839031813902</v>
      </c>
      <c r="Q136" s="3">
        <v>6.6299999999999998E-2</v>
      </c>
      <c r="R136" s="3">
        <v>8.0500000000000002E-2</v>
      </c>
      <c r="S136" s="3">
        <v>5.8700000000000002E-2</v>
      </c>
      <c r="T136" s="2">
        <v>1.5762711</v>
      </c>
      <c r="U136" s="2">
        <v>193.05264586160101</v>
      </c>
      <c r="V136" s="2">
        <v>5.4935017115114402</v>
      </c>
      <c r="W136" s="2">
        <v>198.446145116747</v>
      </c>
      <c r="X136" s="2">
        <v>396.99229268985999</v>
      </c>
      <c r="Y136" s="2">
        <v>0.73773974881344895</v>
      </c>
      <c r="Z136" s="2"/>
      <c r="AA136" s="2">
        <f>Table1[[#This Row],[direct_tax]]*Table1[[#This Row],[kappa]]</f>
        <v>292.87699428989254</v>
      </c>
      <c r="AB136" s="3">
        <f>Table1[[#This Row],[direct_tax]]+Table1[[#This Row],[indirect_cost]]</f>
        <v>689.86928697975259</v>
      </c>
      <c r="AC136" s="3">
        <v>444</v>
      </c>
      <c r="AD136" s="3">
        <v>666</v>
      </c>
      <c r="AE136" s="3">
        <v>888</v>
      </c>
      <c r="AF136" s="2">
        <v>488.4</v>
      </c>
      <c r="AG136" s="3">
        <v>732.6</v>
      </c>
      <c r="AH136" s="2">
        <v>976.8</v>
      </c>
      <c r="AI136" s="2">
        <v>245.86928697975301</v>
      </c>
      <c r="AJ136" s="2">
        <v>23.869286979752999</v>
      </c>
      <c r="AK136" s="3">
        <v>-198.13071302024599</v>
      </c>
      <c r="AL136" s="3">
        <v>201.46928697975301</v>
      </c>
      <c r="AM136" s="3">
        <v>-42.730713020246903</v>
      </c>
      <c r="AN136" s="3">
        <v>-286.93071302024703</v>
      </c>
      <c r="AO136" s="3">
        <v>1.9090252130376901E-3</v>
      </c>
      <c r="AP136" s="3">
        <v>3.3173889941826599E-3</v>
      </c>
      <c r="AQ136" s="3">
        <v>1.1823168273008E-3</v>
      </c>
      <c r="AR136" s="3">
        <v>1.14780743859878E-4</v>
      </c>
      <c r="AS136" s="3">
        <v>-9.5275533958104905E-4</v>
      </c>
      <c r="AT136" s="3">
        <v>9.6880961061262096E-4</v>
      </c>
      <c r="AU136" s="3">
        <v>-2.0548008117239901E-4</v>
      </c>
      <c r="AV136" s="3">
        <v>-1.3797697729574199E-3</v>
      </c>
    </row>
    <row r="137" spans="1:48" x14ac:dyDescent="0.2">
      <c r="A137" t="s">
        <v>55</v>
      </c>
      <c r="B137">
        <v>2021</v>
      </c>
      <c r="C137">
        <v>40</v>
      </c>
      <c r="D137" t="s">
        <v>52</v>
      </c>
      <c r="E137" s="3">
        <v>587757</v>
      </c>
      <c r="F137" s="3">
        <v>2757</v>
      </c>
      <c r="G137" s="3">
        <v>1486</v>
      </c>
      <c r="H137" s="3">
        <v>101</v>
      </c>
      <c r="I137" s="3">
        <v>194515</v>
      </c>
      <c r="J137" s="4">
        <v>1.2632083333333299</v>
      </c>
      <c r="K137" s="2">
        <v>1.24137037037037</v>
      </c>
      <c r="L137" s="2">
        <v>2182.5378500511201</v>
      </c>
      <c r="M137" s="2">
        <v>81.361697049258495</v>
      </c>
      <c r="N137" s="3">
        <v>8.5847902099999998E-2</v>
      </c>
      <c r="O137" s="2">
        <v>127.569982520599</v>
      </c>
      <c r="P137" s="2">
        <v>3425.63674062567</v>
      </c>
      <c r="Q137" s="3">
        <v>8.8400000000000006E-2</v>
      </c>
      <c r="R137" s="3">
        <v>0.10730000000000001</v>
      </c>
      <c r="S137" s="3">
        <v>7.8299999999999995E-2</v>
      </c>
      <c r="T137" s="3">
        <v>2.1025898999999999</v>
      </c>
      <c r="U137" s="2">
        <v>192.93634594451899</v>
      </c>
      <c r="V137" s="2">
        <v>8.7301100933854396</v>
      </c>
      <c r="W137" s="2">
        <v>268.22735679098997</v>
      </c>
      <c r="X137" s="2">
        <v>469.89381282889502</v>
      </c>
      <c r="Y137" s="2">
        <v>0.61332971100453004</v>
      </c>
      <c r="Z137" s="2"/>
      <c r="AA137" s="2">
        <f>Table1[[#This Row],[direct_tax]]*Table1[[#This Row],[kappa]]</f>
        <v>288.19983642516291</v>
      </c>
      <c r="AB137" s="2">
        <f>Table1[[#This Row],[direct_tax]]+Table1[[#This Row],[indirect_cost]]</f>
        <v>758.09364925405794</v>
      </c>
      <c r="AC137" s="3">
        <v>490</v>
      </c>
      <c r="AD137" s="3">
        <v>735</v>
      </c>
      <c r="AE137" s="3">
        <v>981</v>
      </c>
      <c r="AF137" s="3">
        <v>539</v>
      </c>
      <c r="AG137" s="2">
        <v>808.5</v>
      </c>
      <c r="AH137" s="2">
        <v>1079.0999999999999</v>
      </c>
      <c r="AI137" s="2">
        <v>268.09364925405799</v>
      </c>
      <c r="AJ137" s="2">
        <v>23.093649254058199</v>
      </c>
      <c r="AK137" s="3">
        <v>-222.90635074594101</v>
      </c>
      <c r="AL137" s="2">
        <v>219.09364925405799</v>
      </c>
      <c r="AM137" s="3">
        <v>-50.406350745941801</v>
      </c>
      <c r="AN137" s="3">
        <v>-321.00635074594101</v>
      </c>
      <c r="AO137" s="3">
        <v>2.4157201903652402E-3</v>
      </c>
      <c r="AP137" s="3">
        <v>3.8973531565897599E-3</v>
      </c>
      <c r="AQ137" s="3">
        <v>1.3782672249135399E-3</v>
      </c>
      <c r="AR137" s="3">
        <v>1.18724259075435E-4</v>
      </c>
      <c r="AS137" s="3">
        <v>-1.14595969845997E-3</v>
      </c>
      <c r="AT137" s="3">
        <v>1.1263586317459199E-3</v>
      </c>
      <c r="AU137" s="3">
        <v>-2.5913863067599798E-4</v>
      </c>
      <c r="AV137" s="3">
        <v>-1.6502909839649399E-3</v>
      </c>
    </row>
    <row r="138" spans="1:48" x14ac:dyDescent="0.2">
      <c r="A138" t="s">
        <v>55</v>
      </c>
      <c r="B138">
        <v>2022</v>
      </c>
      <c r="C138">
        <v>50</v>
      </c>
      <c r="D138" t="s">
        <v>52</v>
      </c>
      <c r="E138" s="3">
        <v>596608</v>
      </c>
      <c r="F138" s="3">
        <v>3607.5</v>
      </c>
      <c r="G138" s="3">
        <v>1705.5</v>
      </c>
      <c r="H138" s="3">
        <v>86.5</v>
      </c>
      <c r="I138" s="3">
        <v>217182</v>
      </c>
      <c r="J138" s="4">
        <v>1.5502499999999999</v>
      </c>
      <c r="K138" s="2">
        <v>1.90406481481481</v>
      </c>
      <c r="L138" s="2">
        <v>2327.04402515723</v>
      </c>
      <c r="M138" s="2">
        <v>45.429125798121902</v>
      </c>
      <c r="N138" s="3">
        <v>8.5847902099999998E-2</v>
      </c>
      <c r="O138" s="2">
        <v>146.41359703154899</v>
      </c>
      <c r="P138" s="2">
        <v>3931.6443210882098</v>
      </c>
      <c r="Q138" s="3">
        <v>0.1105</v>
      </c>
      <c r="R138" s="3">
        <v>0.1341</v>
      </c>
      <c r="S138" s="3">
        <v>9.7900000000000001E-2</v>
      </c>
      <c r="T138" s="3">
        <v>2.6289087000000002</v>
      </c>
      <c r="U138" s="2">
        <v>257.138364779874</v>
      </c>
      <c r="V138" s="2">
        <v>6.0920457695281502</v>
      </c>
      <c r="W138" s="2">
        <v>384.907979034535</v>
      </c>
      <c r="X138" s="2">
        <v>648.13838958393796</v>
      </c>
      <c r="Y138" s="2">
        <v>0.48891967319561103</v>
      </c>
      <c r="Z138" s="2"/>
      <c r="AA138" s="2">
        <f>Table1[[#This Row],[direct_tax]]*Table1[[#This Row],[kappa]]</f>
        <v>316.88760962090856</v>
      </c>
      <c r="AB138" s="2">
        <f>Table1[[#This Row],[direct_tax]]+Table1[[#This Row],[indirect_cost]]</f>
        <v>965.02599920484658</v>
      </c>
      <c r="AC138" s="3">
        <v>539</v>
      </c>
      <c r="AD138" s="3">
        <v>809</v>
      </c>
      <c r="AE138" s="3">
        <v>1079</v>
      </c>
      <c r="AF138" s="2">
        <v>592.9</v>
      </c>
      <c r="AG138" s="2">
        <v>889.9</v>
      </c>
      <c r="AH138" s="3">
        <v>1186.9000000000001</v>
      </c>
      <c r="AI138" s="2">
        <v>426.02599920484698</v>
      </c>
      <c r="AJ138" s="2">
        <v>156.02599920484701</v>
      </c>
      <c r="AK138" s="3">
        <v>-113.97400079515199</v>
      </c>
      <c r="AL138" s="2">
        <v>372.12599920484701</v>
      </c>
      <c r="AM138" s="2">
        <v>75.125999204847105</v>
      </c>
      <c r="AN138" s="3">
        <v>-221.874000795152</v>
      </c>
      <c r="AO138" s="3">
        <v>2.98430988564401E-3</v>
      </c>
      <c r="AP138" s="3">
        <v>4.44339769964751E-3</v>
      </c>
      <c r="AQ138" s="3">
        <v>1.96160823274878E-3</v>
      </c>
      <c r="AR138" s="3">
        <v>7.1841128272530504E-4</v>
      </c>
      <c r="AS138" s="3">
        <v>-5.2478566729817705E-4</v>
      </c>
      <c r="AT138" s="3">
        <v>1.7134292860589101E-3</v>
      </c>
      <c r="AU138" s="3">
        <v>3.4591264103308298E-4</v>
      </c>
      <c r="AV138" s="3">
        <v>-1.0216040039927399E-3</v>
      </c>
    </row>
    <row r="139" spans="1:48" x14ac:dyDescent="0.2">
      <c r="A139" t="s">
        <v>55</v>
      </c>
      <c r="B139">
        <v>2023</v>
      </c>
      <c r="C139">
        <v>65</v>
      </c>
      <c r="D139" t="s">
        <v>52</v>
      </c>
      <c r="E139" s="3">
        <v>610125</v>
      </c>
      <c r="F139" s="3">
        <v>4458</v>
      </c>
      <c r="G139" s="3">
        <v>1925</v>
      </c>
      <c r="H139" s="3">
        <v>72</v>
      </c>
      <c r="I139" s="3">
        <v>239849</v>
      </c>
      <c r="J139" s="4">
        <v>1.3554166666666601</v>
      </c>
      <c r="K139" s="2">
        <v>1.7136805555555501</v>
      </c>
      <c r="L139" s="2">
        <v>3289.02551490931</v>
      </c>
      <c r="M139" s="3">
        <v>42.014831624589704</v>
      </c>
      <c r="N139" s="3">
        <v>8.5847902099999998E-2</v>
      </c>
      <c r="O139" s="3">
        <v>165.25721154249999</v>
      </c>
      <c r="P139" s="2">
        <v>4437.6519015507502</v>
      </c>
      <c r="Q139" s="3">
        <v>0.1431</v>
      </c>
      <c r="R139" s="3">
        <v>0.17380000000000001</v>
      </c>
      <c r="S139" s="3">
        <v>0.1239</v>
      </c>
      <c r="T139" s="3">
        <v>3.3270867000000002</v>
      </c>
      <c r="U139" s="3">
        <v>470.65955118352298</v>
      </c>
      <c r="V139" s="2">
        <v>7.3021777363536904</v>
      </c>
      <c r="W139" s="2">
        <v>549.825070602138</v>
      </c>
      <c r="X139" s="2">
        <v>1027.7867995220099</v>
      </c>
      <c r="Y139" s="2">
        <v>0.302304616482232</v>
      </c>
      <c r="Z139" s="2"/>
      <c r="AA139" s="2">
        <f>Table1[[#This Row],[direct_tax]]*Table1[[#This Row],[kappa]]</f>
        <v>310.70469425500187</v>
      </c>
      <c r="AB139" s="2">
        <f>Table1[[#This Row],[direct_tax]]+Table1[[#This Row],[indirect_cost]]</f>
        <v>1338.4914937770118</v>
      </c>
      <c r="AC139" s="3">
        <v>772</v>
      </c>
      <c r="AD139" s="3">
        <v>1158</v>
      </c>
      <c r="AE139" s="3">
        <v>1544</v>
      </c>
      <c r="AF139" s="3">
        <v>849.2</v>
      </c>
      <c r="AG139" s="2">
        <v>1273.8</v>
      </c>
      <c r="AH139" s="3">
        <v>1698.4</v>
      </c>
      <c r="AI139" s="2">
        <v>566.49149377701895</v>
      </c>
      <c r="AJ139" s="2">
        <v>180.491493777019</v>
      </c>
      <c r="AK139" s="3">
        <v>-205.50850622298</v>
      </c>
      <c r="AL139" s="2">
        <v>489.29149377701901</v>
      </c>
      <c r="AM139" s="3">
        <v>64.691493777019105</v>
      </c>
      <c r="AN139" s="3">
        <v>-359.90850622298001</v>
      </c>
      <c r="AO139" s="3">
        <v>4.2851410659290401E-3</v>
      </c>
      <c r="AP139" s="3">
        <v>5.58055899243698E-3</v>
      </c>
      <c r="AQ139" s="3">
        <v>2.3618672322045001E-3</v>
      </c>
      <c r="AR139" s="3">
        <v>7.5252135208826905E-4</v>
      </c>
      <c r="AS139" s="3">
        <v>-8.5682452802797004E-4</v>
      </c>
      <c r="AT139" s="3">
        <v>2.0399980561812601E-3</v>
      </c>
      <c r="AU139" s="3">
        <v>2.6971758805339601E-4</v>
      </c>
      <c r="AV139" s="3">
        <v>-1.5005628800744599E-3</v>
      </c>
    </row>
    <row r="140" spans="1:48" x14ac:dyDescent="0.2">
      <c r="A140" t="s">
        <v>55</v>
      </c>
      <c r="B140">
        <v>2024</v>
      </c>
      <c r="C140">
        <v>80</v>
      </c>
      <c r="D140" t="s">
        <v>52</v>
      </c>
      <c r="E140" s="3">
        <v>628458</v>
      </c>
      <c r="F140" s="3">
        <v>4458</v>
      </c>
      <c r="G140" s="3">
        <v>1925</v>
      </c>
      <c r="H140" s="3">
        <v>72</v>
      </c>
      <c r="I140" s="3">
        <v>239849</v>
      </c>
      <c r="J140" s="4">
        <v>1.4460833333333301</v>
      </c>
      <c r="K140" s="2">
        <v>1.47389351851851</v>
      </c>
      <c r="L140" s="2">
        <v>3082.8098887800302</v>
      </c>
      <c r="M140" s="2">
        <v>48.850204641900199</v>
      </c>
      <c r="N140" s="3">
        <v>8.5847902099999998E-2</v>
      </c>
      <c r="O140" s="3">
        <v>165.25721154249999</v>
      </c>
      <c r="P140" s="2">
        <v>4437.6519015507502</v>
      </c>
      <c r="Q140" s="3">
        <v>0.17610000000000001</v>
      </c>
      <c r="R140" s="3">
        <v>0.21390000000000001</v>
      </c>
      <c r="S140" s="3">
        <v>0.1525</v>
      </c>
      <c r="T140" s="3">
        <v>4.0950825000000002</v>
      </c>
      <c r="U140" s="2">
        <v>542.88282141416403</v>
      </c>
      <c r="V140" s="2">
        <v>10.449058772902401</v>
      </c>
      <c r="W140" s="2">
        <v>676.74191498648895</v>
      </c>
      <c r="X140" s="2">
        <v>1230.07379517355</v>
      </c>
      <c r="Y140" s="2">
        <v>0.11568955976885401</v>
      </c>
      <c r="Z140" s="2"/>
      <c r="AA140" s="2">
        <f>Table1[[#This Row],[direct_tax]]*Table1[[#This Row],[kappa]]</f>
        <v>142.3066958468315</v>
      </c>
      <c r="AB140" s="2">
        <f>Table1[[#This Row],[direct_tax]]+Table1[[#This Row],[indirect_cost]]</f>
        <v>1372.3804910203814</v>
      </c>
      <c r="AC140" s="3">
        <v>900</v>
      </c>
      <c r="AD140" s="3">
        <v>1350</v>
      </c>
      <c r="AE140" s="3">
        <v>1800</v>
      </c>
      <c r="AF140" s="3">
        <v>1080</v>
      </c>
      <c r="AG140" s="3">
        <v>1620</v>
      </c>
      <c r="AH140" s="3">
        <v>2160</v>
      </c>
      <c r="AI140" s="2">
        <v>472.380491020389</v>
      </c>
      <c r="AJ140" s="2">
        <v>22.380491020389801</v>
      </c>
      <c r="AK140" s="3">
        <v>-427.61950897960998</v>
      </c>
      <c r="AL140" s="2">
        <v>292.380491020389</v>
      </c>
      <c r="AM140" s="3">
        <v>-247.61950897961</v>
      </c>
      <c r="AN140" s="3">
        <v>-787.61950897961003</v>
      </c>
      <c r="AO140" s="3">
        <v>5.1285341826464003E-3</v>
      </c>
      <c r="AP140" s="3">
        <v>5.7218520444962803E-3</v>
      </c>
      <c r="AQ140" s="3">
        <v>1.9694911841216301E-3</v>
      </c>
      <c r="AR140" s="6">
        <v>9.3310753934307996E-5</v>
      </c>
      <c r="AS140" s="3">
        <v>-1.78286967625301E-3</v>
      </c>
      <c r="AT140" s="3">
        <v>1.2190190120467E-3</v>
      </c>
      <c r="AU140" s="3">
        <v>-1.0323975041780799E-3</v>
      </c>
      <c r="AV140" s="3">
        <v>-3.2838140204028698E-3</v>
      </c>
    </row>
    <row r="141" spans="1:48" x14ac:dyDescent="0.2">
      <c r="A141" t="s">
        <v>55</v>
      </c>
      <c r="B141">
        <v>2025</v>
      </c>
      <c r="C141">
        <v>0</v>
      </c>
      <c r="D141" t="s">
        <v>52</v>
      </c>
      <c r="E141" s="3">
        <v>628458</v>
      </c>
      <c r="F141" s="3">
        <v>4458</v>
      </c>
      <c r="G141" s="3">
        <v>1925</v>
      </c>
      <c r="H141" s="3">
        <v>72</v>
      </c>
      <c r="I141" s="3">
        <v>239849</v>
      </c>
      <c r="J141" s="4">
        <v>1.3190833333333301</v>
      </c>
      <c r="K141" s="2">
        <v>1.3772731481481399</v>
      </c>
      <c r="L141" s="2">
        <v>3379.6196853875699</v>
      </c>
      <c r="M141" s="2">
        <v>52.2772117475822</v>
      </c>
      <c r="N141" s="3">
        <v>8.5847902099999998E-2</v>
      </c>
      <c r="O141" s="3">
        <v>165.25721154249999</v>
      </c>
      <c r="P141" s="2">
        <v>4437.6519015507502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/>
      <c r="AA141" s="3">
        <f>Table1[[#This Row],[direct_tax]]*Table1[[#This Row],[kappa]]</f>
        <v>0</v>
      </c>
      <c r="AB141" s="3">
        <f>Table1[[#This Row],[direct_tax]]+Table1[[#This Row],[indirect_cost]]</f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ggppa_progressivity_results_v4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RSPUB</dc:creator>
  <cp:lastModifiedBy>RSPUB</cp:lastModifiedBy>
  <dcterms:created xsi:type="dcterms:W3CDTF">2026-02-10T15:12:48Z</dcterms:created>
  <dcterms:modified xsi:type="dcterms:W3CDTF">2026-02-11T13:42:23Z</dcterms:modified>
</cp:coreProperties>
</file>