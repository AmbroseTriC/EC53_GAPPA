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Analysis/v4 Output Excel/"/>
    </mc:Choice>
  </mc:AlternateContent>
  <xr:revisionPtr revIDLastSave="34" documentId="8_{A9112576-388C-B54B-8454-7BE46DCD1541}" xr6:coauthVersionLast="47" xr6:coauthVersionMax="47" xr10:uidLastSave="{9AB51490-FB15-0647-B914-5F12494BFD05}"/>
  <bookViews>
    <workbookView xWindow="0" yWindow="800" windowWidth="36000" windowHeight="21320" xr2:uid="{894813A1-9242-C643-AF15-5621EA079229}"/>
  </bookViews>
  <sheets>
    <sheet name="ggppa_progressivity_results_v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</calcChain>
</file>

<file path=xl/sharedStrings.xml><?xml version="1.0" encoding="utf-8"?>
<sst xmlns="http://schemas.openxmlformats.org/spreadsheetml/2006/main" count="472" uniqueCount="64">
  <si>
    <t>Province</t>
  </si>
  <si>
    <t>Year</t>
  </si>
  <si>
    <t>carbon_price_per_tCO2e</t>
  </si>
  <si>
    <t>Quintile</t>
  </si>
  <si>
    <t>Households</t>
  </si>
  <si>
    <t>gas_exp</t>
  </si>
  <si>
    <t>ng_exp</t>
  </si>
  <si>
    <t>oil_exp</t>
  </si>
  <si>
    <t>total_exp</t>
  </si>
  <si>
    <t>gasoline_price</t>
  </si>
  <si>
    <t>heating_oil_price</t>
  </si>
  <si>
    <t>gasoline_litres</t>
  </si>
  <si>
    <t>oil_litres</t>
  </si>
  <si>
    <t>ng_GJ_per_dollar</t>
  </si>
  <si>
    <t>ng_GJ</t>
  </si>
  <si>
    <t>ng_m3</t>
  </si>
  <si>
    <t>Gasoline</t>
  </si>
  <si>
    <t>Light fuel oil</t>
  </si>
  <si>
    <t>Marketable natural gas</t>
  </si>
  <si>
    <t>ng_rate_per_GJ</t>
  </si>
  <si>
    <t>tax_gasoline</t>
  </si>
  <si>
    <t>tax_oil</t>
  </si>
  <si>
    <t>tax_ng</t>
  </si>
  <si>
    <t>direct_tax</t>
  </si>
  <si>
    <t>direct_tax_avg_prov_year</t>
  </si>
  <si>
    <t>finance_cost_impact_anchor</t>
  </si>
  <si>
    <t>kappa_anchor_implied</t>
  </si>
  <si>
    <t>kappa_ols_fitted</t>
  </si>
  <si>
    <t>kappa_source</t>
  </si>
  <si>
    <t>kappa</t>
  </si>
  <si>
    <t>indirect_cost</t>
  </si>
  <si>
    <t>gross_cost</t>
  </si>
  <si>
    <t>CCR_single_base</t>
  </si>
  <si>
    <t>CCR_couple_base</t>
  </si>
  <si>
    <t>CCR_family4_base</t>
  </si>
  <si>
    <t>CCR_single_rural</t>
  </si>
  <si>
    <t>CCR_couple_rural</t>
  </si>
  <si>
    <t>CCR_family4_rural</t>
  </si>
  <si>
    <t>net_single_base</t>
  </si>
  <si>
    <t>net_couple_base</t>
  </si>
  <si>
    <t>net_family4_base</t>
  </si>
  <si>
    <t>net_single_rural</t>
  </si>
  <si>
    <t>net_couple_rural</t>
  </si>
  <si>
    <t>net_family4_rural</t>
  </si>
  <si>
    <t>etr_direct_tax</t>
  </si>
  <si>
    <t>etr_gross_cost</t>
  </si>
  <si>
    <t>etr_net_single_base</t>
  </si>
  <si>
    <t>etr_net_couple_base</t>
  </si>
  <si>
    <t>etr_net_family4_base</t>
  </si>
  <si>
    <t>etr_net_single_rural</t>
  </si>
  <si>
    <t>etr_net_couple_rural</t>
  </si>
  <si>
    <t>etr_net_family4_rural</t>
  </si>
  <si>
    <t>Ontario</t>
  </si>
  <si>
    <t>Lowest quintile</t>
  </si>
  <si>
    <t>ols_fitted</t>
  </si>
  <si>
    <t>anchor</t>
  </si>
  <si>
    <t>zero_price</t>
  </si>
  <si>
    <t>Second quintile</t>
  </si>
  <si>
    <t>Third quintile</t>
  </si>
  <si>
    <t>Fourth quintile</t>
  </si>
  <si>
    <t>Highest quintile</t>
  </si>
  <si>
    <t>Manitoba</t>
  </si>
  <si>
    <t>Saskatchewan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</si>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</sst>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D3AFC7-85C8-634E-9086-93128ABDE4C6}" name="Table1" displayName="Table1" ref="A1:AZ141" totalsRowShown="0">
  <autoFilter ref="A1:AZ141" xr:uid="{D8D3AFC7-85C8-634E-9086-93128ABDE4C6}"/>
  <tableColumns count="52">
    <tableColumn id="1" xr3:uid="{F9B7AA6F-E0CC-FD41-8F5D-0FE374E6787A}" name="Province"/>
    <tableColumn id="2" xr3:uid="{E0826E82-A5F5-284A-AE54-BEFF4C449CE5}" name="Year"/>
    <tableColumn id="3" xr3:uid="{C274A98D-40B5-EB45-B89D-D201546A9C75}" name="carbon_price_per_tCO2e"/>
    <tableColumn id="4" xr3:uid="{112D3107-FF71-5A42-830F-55877CF144D7}" name="Quintile"/>
    <tableColumn id="5" xr3:uid="{D71EA2C9-276A-CC49-860C-C1D74B93BCEE}" name="Households"/>
    <tableColumn id="6" xr3:uid="{5D36FFC5-C68E-E64A-BF77-DA9DFFFCACC4}" name="gas_exp"/>
    <tableColumn id="7" xr3:uid="{E12D079E-D72F-A744-9102-ADB303650383}" name="ng_exp"/>
    <tableColumn id="8" xr3:uid="{2E63F561-8513-C74E-A4A4-177D3ABF8E50}" name="oil_exp"/>
    <tableColumn id="9" xr3:uid="{7DDC64AE-8E5B-234F-9390-81EA43CCE4DB}" name="total_exp"/>
    <tableColumn id="10" xr3:uid="{9E4AFB74-B87B-E746-87DC-3F01A25C3643}" name="gasoline_price"/>
    <tableColumn id="11" xr3:uid="{39F0BE31-ACF6-1C40-B6A5-B8B6B6AD84F0}" name="heating_oil_price"/>
    <tableColumn id="12" xr3:uid="{8DABFD97-E8D1-4846-9652-5852FAB82E7C}" name="gasoline_litres"/>
    <tableColumn id="13" xr3:uid="{8483FDA9-567F-974D-B758-F6B80404169B}" name="oil_litres"/>
    <tableColumn id="14" xr3:uid="{73DC7D79-FD79-7E48-8C8F-1EB4F1DFCCF1}" name="ng_GJ_per_dollar"/>
    <tableColumn id="15" xr3:uid="{08C8CBF3-2FA0-E842-AB69-612351747FE3}" name="ng_GJ"/>
    <tableColumn id="16" xr3:uid="{D942D1C4-F698-8B48-9086-5E29B2CA76F9}" name="ng_m3"/>
    <tableColumn id="17" xr3:uid="{2C55C114-561B-9544-99DA-DCD5939C86D0}" name="Gasoline"/>
    <tableColumn id="18" xr3:uid="{3A1F68A3-5A4C-2140-A66A-0965F50FA108}" name="Light fuel oil"/>
    <tableColumn id="19" xr3:uid="{EBE12A44-57E8-4540-A4E3-67BBBCEF2D7A}" name="Marketable natural gas"/>
    <tableColumn id="20" xr3:uid="{4016FC7A-7DAE-DB47-AB5A-723C28EA6D80}" name="ng_rate_per_GJ"/>
    <tableColumn id="21" xr3:uid="{D14C55B8-5F92-D64C-8D24-D56721E04DC0}" name="tax_gasoline"/>
    <tableColumn id="22" xr3:uid="{1570346F-5040-EB40-9B96-5C2D685E139E}" name="tax_oil"/>
    <tableColumn id="23" xr3:uid="{2EEE8532-A6EB-F34F-B6F4-44EB30FA7FB9}" name="tax_ng"/>
    <tableColumn id="24" xr3:uid="{7D0BF791-89C5-8B49-9A44-D4D2FE8F51B2}" name="direct_tax"/>
    <tableColumn id="25" xr3:uid="{E81681FA-2840-3647-99E3-29CDCB664737}" name="direct_tax_avg_prov_year"/>
    <tableColumn id="26" xr3:uid="{F126E691-8752-364A-B3F1-EEA4D9EB1845}" name="finance_cost_impact_anchor"/>
    <tableColumn id="27" xr3:uid="{CFA8EEA5-FAF5-5F45-8BFF-E9FD0A3642BC}" name="kappa_anchor_implied"/>
    <tableColumn id="28" xr3:uid="{23FE9D7C-72DB-0541-834F-D0B7F8B26AF1}" name="kappa_ols_fitted"/>
    <tableColumn id="29" xr3:uid="{83F2E816-4DC6-F34A-8AEB-5640F91C6D9D}" name="kappa_source"/>
    <tableColumn id="30" xr3:uid="{2137F304-F595-2B47-A7FA-AFB16380D52F}" name="kappa"/>
    <tableColumn id="31" xr3:uid="{53A34E1E-0798-324D-9FCD-9C7FB02746D5}" name="indirect_cost"/>
    <tableColumn id="32" xr3:uid="{6751D1C2-C315-AF40-9447-04414AF7E624}" name="gross_cost"/>
    <tableColumn id="33" xr3:uid="{5492E827-0D10-594B-94DA-7CDC752C81FF}" name="CCR_single_base"/>
    <tableColumn id="34" xr3:uid="{33A1C3BD-D20B-D64C-8792-AD6831009662}" name="CCR_couple_base"/>
    <tableColumn id="35" xr3:uid="{D5683066-68F4-C447-A496-F2527180BB17}" name="CCR_family4_base"/>
    <tableColumn id="36" xr3:uid="{648DB40E-3A18-5B49-A423-DBFFCC3209E3}" name="CCR_single_rural"/>
    <tableColumn id="37" xr3:uid="{6D85E74E-4717-A949-BC95-A221D1906725}" name="CCR_couple_rural"/>
    <tableColumn id="38" xr3:uid="{D84A9350-0F63-664A-9143-7958E8C1D49B}" name="CCR_family4_rural"/>
    <tableColumn id="39" xr3:uid="{5A510EFC-66E5-2E4D-A019-25B0BE35F469}" name="net_single_base" dataDxfId="4">
      <calculatedColumnFormula>Table1[[#This Row],[gross_cost]]-Table1[[#This Row],[CCR_single_base]]</calculatedColumnFormula>
    </tableColumn>
    <tableColumn id="40" xr3:uid="{FEC8C8B6-69E0-2C42-9237-ADDA4ADC1DC0}" name="net_couple_base" dataDxfId="3">
      <calculatedColumnFormula>Table1[[#This Row],[gross_cost]]-Table1[[#This Row],[CCR_couple_base]]</calculatedColumnFormula>
    </tableColumn>
    <tableColumn id="41" xr3:uid="{BCAD54E4-6307-0344-B9E9-D55C1CE48CA9}" name="net_family4_base" dataDxfId="2">
      <calculatedColumnFormula>Table1[[#This Row],[gross_cost]]-Table1[[#This Row],[CCR_family4_rural]]</calculatedColumnFormula>
    </tableColumn>
    <tableColumn id="42" xr3:uid="{20E72560-5902-A345-AE3E-CA08D397A172}" name="net_single_rural"/>
    <tableColumn id="43" xr3:uid="{E172E8D0-A93E-AB43-B314-1F193D4D447E}" name="net_couple_rural"/>
    <tableColumn id="44" xr3:uid="{77D51632-87A1-E949-AD79-0F7439F5DDB2}" name="net_family4_rural"/>
    <tableColumn id="45" xr3:uid="{B3944496-6B9B-1F4D-B356-892A83D7C694}" name="etr_direct_tax" dataDxfId="1">
      <calculatedColumnFormula>Table1[[#This Row],[direct_tax]]/Table1[[#This Row],[total_exp]]</calculatedColumnFormula>
    </tableColumn>
    <tableColumn id="46" xr3:uid="{DB0D00CA-FFB6-554B-AE5C-74A8B23538E6}" name="etr_gross_cost" dataDxfId="0">
      <calculatedColumnFormula>Table1[[#This Row],[gross_cost]]/Table1[[#This Row],[total_exp]]</calculatedColumnFormula>
    </tableColumn>
    <tableColumn id="47" xr3:uid="{BF365B8E-8775-7943-860E-9623C6CC2F99}" name="etr_net_single_base"/>
    <tableColumn id="48" xr3:uid="{A6425C81-3100-1A4D-9950-A8004DFF2CF9}" name="etr_net_couple_base"/>
    <tableColumn id="49" xr3:uid="{997B5C2E-5039-0F4C-901B-A43B279AFC03}" name="etr_net_family4_base"/>
    <tableColumn id="50" xr3:uid="{7C98F975-2D98-3B42-A11D-2BEEB75BA9E4}" name="etr_net_single_rural"/>
    <tableColumn id="51" xr3:uid="{471966AC-A2B1-EF41-A73A-F4EDAD502069}" name="etr_net_couple_rural"/>
    <tableColumn id="52" xr3:uid="{336FC9C3-5A98-FD4D-9565-32C27B7983BD}" name="etr_net_family4_rur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CCEB-F4A5-4747-BD90-F41574548279}">
  <dimension ref="A1:AZ141"/>
  <sheetViews>
    <sheetView tabSelected="1" zoomScale="111" workbookViewId="0">
      <pane xSplit="4" ySplit="1" topLeftCell="AR2" activePane="bottomRight" state="frozen"/>
      <selection pane="topRight" activeCell="E1" sqref="E1"/>
      <selection pane="bottomLeft" activeCell="A2" sqref="A2"/>
      <selection pane="bottomRight" activeCell="AT3" sqref="AT3"/>
    </sheetView>
  </sheetViews>
  <sheetFormatPr baseColWidth="10" defaultRowHeight="16" x14ac:dyDescent="0.2"/>
  <cols>
    <col min="2" max="2" width="7.5" customWidth="1"/>
    <col min="3" max="3" width="22.33203125" customWidth="1"/>
    <col min="5" max="5" width="13" customWidth="1"/>
    <col min="9" max="9" width="11" customWidth="1"/>
    <col min="10" max="10" width="15.1640625" customWidth="1"/>
    <col min="11" max="11" width="17.33203125" customWidth="1"/>
    <col min="12" max="12" width="15.1640625" customWidth="1"/>
    <col min="14" max="14" width="17.1640625" customWidth="1"/>
    <col min="18" max="18" width="13" customWidth="1"/>
    <col min="19" max="19" width="21.83203125" customWidth="1"/>
    <col min="20" max="20" width="15.83203125" customWidth="1"/>
    <col min="21" max="21" width="13.5" customWidth="1"/>
    <col min="24" max="24" width="11.6640625" customWidth="1"/>
    <col min="25" max="25" width="23.83203125" customWidth="1"/>
    <col min="26" max="26" width="26.83203125" customWidth="1"/>
    <col min="27" max="27" width="21.6640625" customWidth="1"/>
    <col min="28" max="28" width="16.6640625" customWidth="1"/>
    <col min="29" max="29" width="14.6640625" customWidth="1"/>
    <col min="31" max="31" width="14.1640625" customWidth="1"/>
    <col min="32" max="32" width="12" customWidth="1"/>
    <col min="33" max="33" width="17.5" customWidth="1"/>
    <col min="34" max="34" width="18.33203125" customWidth="1"/>
    <col min="35" max="35" width="18.6640625" customWidth="1"/>
    <col min="36" max="36" width="17.5" customWidth="1"/>
    <col min="37" max="37" width="18.33203125" customWidth="1"/>
    <col min="38" max="38" width="18.6640625" customWidth="1"/>
    <col min="39" max="39" width="16.33203125" customWidth="1"/>
    <col min="40" max="40" width="17.1640625" customWidth="1"/>
    <col min="41" max="41" width="17.5" customWidth="1"/>
    <col min="42" max="42" width="16.33203125" customWidth="1"/>
    <col min="43" max="43" width="17.1640625" customWidth="1"/>
    <col min="44" max="44" width="17.5" customWidth="1"/>
    <col min="45" max="45" width="14.83203125" customWidth="1"/>
    <col min="46" max="46" width="15.1640625" customWidth="1"/>
    <col min="47" max="47" width="19.5" customWidth="1"/>
    <col min="48" max="48" width="20.33203125" customWidth="1"/>
    <col min="49" max="49" width="20.6640625" customWidth="1"/>
    <col min="50" max="50" width="19.5" customWidth="1"/>
    <col min="51" max="51" width="20.33203125" customWidth="1"/>
    <col min="52" max="52" width="20.6640625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>
        <v>2019</v>
      </c>
      <c r="C2">
        <v>20</v>
      </c>
      <c r="D2" t="s">
        <v>53</v>
      </c>
      <c r="E2">
        <v>1176865</v>
      </c>
      <c r="F2">
        <v>1187</v>
      </c>
      <c r="G2">
        <v>333</v>
      </c>
      <c r="H2">
        <v>101</v>
      </c>
      <c r="I2">
        <v>38714</v>
      </c>
      <c r="J2">
        <v>1.2092499999999999</v>
      </c>
      <c r="K2">
        <v>1.3276666666666599</v>
      </c>
      <c r="L2">
        <v>981.60016539177104</v>
      </c>
      <c r="M2">
        <v>76.073311574190299</v>
      </c>
      <c r="N2">
        <v>7.2019254500000005E-2</v>
      </c>
      <c r="O2">
        <v>23.982411748499999</v>
      </c>
      <c r="P2">
        <v>643.99970268247</v>
      </c>
      <c r="Q2">
        <v>4.4200000000000003E-2</v>
      </c>
      <c r="R2">
        <v>5.3699999999999998E-2</v>
      </c>
      <c r="S2">
        <v>3.9100000000000003E-2</v>
      </c>
      <c r="T2">
        <v>1.0499522999999999</v>
      </c>
      <c r="U2">
        <v>43.386727310316303</v>
      </c>
      <c r="V2">
        <v>4.08513683153401</v>
      </c>
      <c r="W2">
        <v>25.1803883748846</v>
      </c>
      <c r="X2">
        <v>72.652252516734904</v>
      </c>
      <c r="Y2">
        <v>157.498870259824</v>
      </c>
      <c r="AB2">
        <v>0.81928089434053997</v>
      </c>
      <c r="AC2" t="s">
        <v>54</v>
      </c>
      <c r="AD2">
        <v>0.81928089434053997</v>
      </c>
      <c r="AE2">
        <v>59.522602417765299</v>
      </c>
      <c r="AF2">
        <v>132.17485493449999</v>
      </c>
      <c r="AG2">
        <v>154</v>
      </c>
      <c r="AH2">
        <v>231</v>
      </c>
      <c r="AI2">
        <v>307</v>
      </c>
      <c r="AJ2">
        <v>169.4</v>
      </c>
      <c r="AK2">
        <v>254.1</v>
      </c>
      <c r="AL2">
        <v>337.7</v>
      </c>
      <c r="AM2">
        <f>Table1[[#This Row],[gross_cost]]-Table1[[#This Row],[CCR_single_base]]</f>
        <v>-21.82514506550001</v>
      </c>
      <c r="AN2">
        <f>Table1[[#This Row],[gross_cost]]-Table1[[#This Row],[CCR_couple_base]]</f>
        <v>-98.82514506550001</v>
      </c>
      <c r="AO2">
        <f>Table1[[#This Row],[gross_cost]]-Table1[[#This Row],[CCR_family4_rural]]</f>
        <v>-205.5251450655</v>
      </c>
      <c r="AP2">
        <v>-37.225145065499703</v>
      </c>
      <c r="AQ2">
        <v>-121.925145065499</v>
      </c>
      <c r="AR2">
        <v>-205.525145065499</v>
      </c>
      <c r="AS2">
        <f>Table1[[#This Row],[direct_tax]]/Table1[[#This Row],[total_exp]]</f>
        <v>1.8766402985156507E-3</v>
      </c>
      <c r="AT2">
        <f>Table1[[#This Row],[gross_cost]]/Table1[[#This Row],[total_exp]]</f>
        <v>3.4141358406390449E-3</v>
      </c>
      <c r="AU2">
        <v>-5.6375329507412503E-4</v>
      </c>
      <c r="AV2">
        <v>-2.55269786293071E-3</v>
      </c>
      <c r="AW2">
        <v>-4.5158119818541004E-3</v>
      </c>
      <c r="AX2">
        <v>-9.6154220864544295E-4</v>
      </c>
      <c r="AY2">
        <v>-3.1493812332876901E-3</v>
      </c>
      <c r="AZ2">
        <v>-5.30880676410341E-3</v>
      </c>
    </row>
    <row r="3" spans="1:52" x14ac:dyDescent="0.2">
      <c r="A3" t="s">
        <v>52</v>
      </c>
      <c r="B3">
        <v>2020</v>
      </c>
      <c r="C3">
        <v>30</v>
      </c>
      <c r="D3" t="s">
        <v>53</v>
      </c>
      <c r="E3">
        <v>1208939</v>
      </c>
      <c r="F3">
        <v>1247</v>
      </c>
      <c r="G3">
        <v>369.5</v>
      </c>
      <c r="H3">
        <v>102</v>
      </c>
      <c r="I3">
        <v>39703</v>
      </c>
      <c r="J3">
        <v>1.0371666666666599</v>
      </c>
      <c r="K3">
        <v>1.17475</v>
      </c>
      <c r="L3">
        <v>1202.31399646472</v>
      </c>
      <c r="M3">
        <v>86.826984464779699</v>
      </c>
      <c r="N3">
        <v>7.2019254500000005E-2</v>
      </c>
      <c r="O3">
        <v>26.611114537750002</v>
      </c>
      <c r="P3">
        <v>714.58825868220003</v>
      </c>
      <c r="Q3">
        <v>6.6299999999999998E-2</v>
      </c>
      <c r="R3">
        <v>8.0500000000000002E-2</v>
      </c>
      <c r="S3">
        <v>5.8700000000000002E-2</v>
      </c>
      <c r="T3">
        <v>1.5762711</v>
      </c>
      <c r="U3">
        <v>79.713417965611399</v>
      </c>
      <c r="V3">
        <v>6.9895722494147599</v>
      </c>
      <c r="W3">
        <v>41.946330784645099</v>
      </c>
      <c r="X3">
        <v>128.649320999671</v>
      </c>
      <c r="Y3">
        <v>246.339619032857</v>
      </c>
      <c r="AB3">
        <v>0.77675742143664706</v>
      </c>
      <c r="AC3" t="s">
        <v>54</v>
      </c>
      <c r="AD3">
        <v>0.77675742143664706</v>
      </c>
      <c r="AE3">
        <v>99.929314849280203</v>
      </c>
      <c r="AF3">
        <v>228.578635848951</v>
      </c>
      <c r="AG3">
        <v>224</v>
      </c>
      <c r="AH3">
        <v>336</v>
      </c>
      <c r="AI3">
        <v>448</v>
      </c>
      <c r="AJ3">
        <v>246.4</v>
      </c>
      <c r="AK3">
        <v>369.6</v>
      </c>
      <c r="AL3">
        <v>492.8</v>
      </c>
      <c r="AM3">
        <f>Table1[[#This Row],[gross_cost]]-Table1[[#This Row],[CCR_single_base]]</f>
        <v>4.5786358489509951</v>
      </c>
      <c r="AN3">
        <f>Table1[[#This Row],[gross_cost]]-Table1[[#This Row],[CCR_couple_base]]</f>
        <v>-107.421364151049</v>
      </c>
      <c r="AO3">
        <f>Table1[[#This Row],[gross_cost]]-Table1[[#This Row],[CCR_family4_rural]]</f>
        <v>-264.22136415104899</v>
      </c>
      <c r="AP3">
        <v>-17.8213641510484</v>
      </c>
      <c r="AQ3">
        <v>-141.021364151048</v>
      </c>
      <c r="AR3">
        <v>-264.22136415104802</v>
      </c>
      <c r="AS3">
        <f>Table1[[#This Row],[direct_tax]]/Table1[[#This Row],[total_exp]]</f>
        <v>3.2402921945362067E-3</v>
      </c>
      <c r="AT3">
        <f>Table1[[#This Row],[gross_cost]]/Table1[[#This Row],[total_exp]]</f>
        <v>5.7572132042654454E-3</v>
      </c>
      <c r="AU3">
        <v>1.15322163286189E-4</v>
      </c>
      <c r="AV3">
        <v>-2.7056233572034399E-3</v>
      </c>
      <c r="AW3">
        <v>-5.5265688776930796E-3</v>
      </c>
      <c r="AX3">
        <v>-4.48866940811738E-4</v>
      </c>
      <c r="AY3">
        <v>-3.5519070133503299E-3</v>
      </c>
      <c r="AZ3">
        <v>-6.6549470858889301E-3</v>
      </c>
    </row>
    <row r="4" spans="1:52" x14ac:dyDescent="0.2">
      <c r="A4" t="s">
        <v>52</v>
      </c>
      <c r="B4">
        <v>2021</v>
      </c>
      <c r="C4">
        <v>40</v>
      </c>
      <c r="D4" t="s">
        <v>53</v>
      </c>
      <c r="E4">
        <v>1286480</v>
      </c>
      <c r="F4">
        <v>1307</v>
      </c>
      <c r="G4">
        <v>406</v>
      </c>
      <c r="H4">
        <v>103</v>
      </c>
      <c r="I4">
        <v>40692</v>
      </c>
      <c r="J4">
        <v>1.3430555555555499</v>
      </c>
      <c r="K4">
        <v>1.40994444444444</v>
      </c>
      <c r="L4">
        <v>973.15408479834502</v>
      </c>
      <c r="M4">
        <v>73.0525237401</v>
      </c>
      <c r="N4">
        <v>7.2019254500000005E-2</v>
      </c>
      <c r="O4">
        <v>29.239817327000001</v>
      </c>
      <c r="P4">
        <v>785.17681468193098</v>
      </c>
      <c r="Q4">
        <v>8.8400000000000006E-2</v>
      </c>
      <c r="R4">
        <v>0.10730000000000001</v>
      </c>
      <c r="S4">
        <v>7.8299999999999995E-2</v>
      </c>
      <c r="T4">
        <v>2.1025898999999999</v>
      </c>
      <c r="U4">
        <v>86.026821096173705</v>
      </c>
      <c r="V4">
        <v>7.8385357973127396</v>
      </c>
      <c r="W4">
        <v>61.479344589595101</v>
      </c>
      <c r="X4">
        <v>155.344701483081</v>
      </c>
      <c r="Y4">
        <v>267.464017856954</v>
      </c>
      <c r="Z4">
        <v>439</v>
      </c>
      <c r="AA4">
        <v>0.64134227668256505</v>
      </c>
      <c r="AB4">
        <v>0.73423394853275403</v>
      </c>
      <c r="AC4" t="s">
        <v>55</v>
      </c>
      <c r="AD4">
        <v>0.64134227668256505</v>
      </c>
      <c r="AE4">
        <v>99.629124519733097</v>
      </c>
      <c r="AF4">
        <v>254.97382600281401</v>
      </c>
      <c r="AG4">
        <v>300</v>
      </c>
      <c r="AH4">
        <v>450</v>
      </c>
      <c r="AI4">
        <v>600</v>
      </c>
      <c r="AJ4">
        <v>330</v>
      </c>
      <c r="AK4">
        <v>495</v>
      </c>
      <c r="AL4">
        <v>660</v>
      </c>
      <c r="AM4">
        <f>Table1[[#This Row],[gross_cost]]-Table1[[#This Row],[CCR_single_base]]</f>
        <v>-45.026173997185992</v>
      </c>
      <c r="AN4">
        <f>Table1[[#This Row],[gross_cost]]-Table1[[#This Row],[CCR_couple_base]]</f>
        <v>-195.02617399718599</v>
      </c>
      <c r="AO4">
        <f>Table1[[#This Row],[gross_cost]]-Table1[[#This Row],[CCR_family4_rural]]</f>
        <v>-405.02617399718599</v>
      </c>
      <c r="AP4">
        <v>-75.026173997185097</v>
      </c>
      <c r="AQ4">
        <v>-240.026173997185</v>
      </c>
      <c r="AR4">
        <v>-405.02617399718503</v>
      </c>
      <c r="AS4">
        <f>Table1[[#This Row],[direct_tax]]/Table1[[#This Row],[total_exp]]</f>
        <v>3.8175735152629754E-3</v>
      </c>
      <c r="AT4">
        <f>Table1[[#This Row],[gross_cost]]/Table1[[#This Row],[total_exp]]</f>
        <v>6.2659448049448051E-3</v>
      </c>
      <c r="AU4">
        <v>-1.1065116975617999E-3</v>
      </c>
      <c r="AV4">
        <v>-4.7927399488151201E-3</v>
      </c>
      <c r="AW4">
        <v>-8.4789682000684392E-3</v>
      </c>
      <c r="AX4">
        <v>-1.8437573478124699E-3</v>
      </c>
      <c r="AY4">
        <v>-5.8986084241911202E-3</v>
      </c>
      <c r="AZ4">
        <v>-9.9534595005697692E-3</v>
      </c>
    </row>
    <row r="5" spans="1:52" x14ac:dyDescent="0.2">
      <c r="A5" t="s">
        <v>52</v>
      </c>
      <c r="B5">
        <v>2022</v>
      </c>
      <c r="C5">
        <v>50</v>
      </c>
      <c r="D5" t="s">
        <v>53</v>
      </c>
      <c r="E5">
        <v>1404370</v>
      </c>
      <c r="F5">
        <v>1131</v>
      </c>
      <c r="G5">
        <v>489.5</v>
      </c>
      <c r="H5">
        <v>103</v>
      </c>
      <c r="I5">
        <v>42659.5</v>
      </c>
      <c r="J5">
        <v>1.6998888888888799</v>
      </c>
      <c r="K5">
        <v>2.18194444444444</v>
      </c>
      <c r="L5">
        <v>665.33760376495195</v>
      </c>
      <c r="M5">
        <v>47.205601527689304</v>
      </c>
      <c r="N5">
        <v>7.2019254500000005E-2</v>
      </c>
      <c r="O5">
        <v>35.253425077750002</v>
      </c>
      <c r="P5">
        <v>946.66022361282</v>
      </c>
      <c r="Q5">
        <v>0.1105</v>
      </c>
      <c r="R5">
        <v>0.1341</v>
      </c>
      <c r="S5">
        <v>9.7900000000000001E-2</v>
      </c>
      <c r="T5">
        <v>2.6289087000000002</v>
      </c>
      <c r="U5">
        <v>73.519805216027194</v>
      </c>
      <c r="V5">
        <v>6.3302711648631398</v>
      </c>
      <c r="W5">
        <v>92.678035891695103</v>
      </c>
      <c r="X5">
        <v>172.52811227258499</v>
      </c>
      <c r="Y5">
        <v>318.35801500573501</v>
      </c>
      <c r="Z5">
        <v>578</v>
      </c>
      <c r="AA5">
        <v>0.81556603809577799</v>
      </c>
      <c r="AB5">
        <v>0.69171047562886001</v>
      </c>
      <c r="AC5" t="s">
        <v>55</v>
      </c>
      <c r="AD5">
        <v>0.81556603809577799</v>
      </c>
      <c r="AE5">
        <v>140.70806898629601</v>
      </c>
      <c r="AF5">
        <v>313.236181258881</v>
      </c>
      <c r="AG5">
        <v>373</v>
      </c>
      <c r="AH5">
        <v>559</v>
      </c>
      <c r="AI5">
        <v>745</v>
      </c>
      <c r="AJ5">
        <v>410.3</v>
      </c>
      <c r="AK5">
        <v>614.9</v>
      </c>
      <c r="AL5">
        <v>819.5</v>
      </c>
      <c r="AM5">
        <f>Table1[[#This Row],[gross_cost]]-Table1[[#This Row],[CCR_single_base]]</f>
        <v>-59.763818741118996</v>
      </c>
      <c r="AN5">
        <f>Table1[[#This Row],[gross_cost]]-Table1[[#This Row],[CCR_couple_base]]</f>
        <v>-245.763818741119</v>
      </c>
      <c r="AO5">
        <f>Table1[[#This Row],[gross_cost]]-Table1[[#This Row],[CCR_family4_rural]]</f>
        <v>-506.263818741119</v>
      </c>
      <c r="AP5">
        <v>-97.063818741118297</v>
      </c>
      <c r="AQ5">
        <v>-301.66381874111801</v>
      </c>
      <c r="AR5">
        <v>-506.26381874111797</v>
      </c>
      <c r="AS5">
        <f>Table1[[#This Row],[direct_tax]]/Table1[[#This Row],[total_exp]]</f>
        <v>4.0443069485714784E-3</v>
      </c>
      <c r="AT5">
        <f>Table1[[#This Row],[gross_cost]]/Table1[[#This Row],[total_exp]]</f>
        <v>7.3427063434611519E-3</v>
      </c>
      <c r="AU5">
        <v>-1.4009498175346199E-3</v>
      </c>
      <c r="AV5">
        <v>-5.7610571793180396E-3</v>
      </c>
      <c r="AW5">
        <v>-1.01211645411014E-2</v>
      </c>
      <c r="AX5">
        <v>-2.2753154336342001E-3</v>
      </c>
      <c r="AY5">
        <v>-7.0714335315959697E-3</v>
      </c>
      <c r="AZ5">
        <v>-1.18675516295577E-2</v>
      </c>
    </row>
    <row r="6" spans="1:52" x14ac:dyDescent="0.2">
      <c r="A6" t="s">
        <v>52</v>
      </c>
      <c r="B6">
        <v>2023</v>
      </c>
      <c r="C6">
        <v>65</v>
      </c>
      <c r="D6" t="s">
        <v>53</v>
      </c>
      <c r="E6">
        <v>1453486</v>
      </c>
      <c r="F6">
        <v>955</v>
      </c>
      <c r="G6">
        <v>573</v>
      </c>
      <c r="H6">
        <v>103</v>
      </c>
      <c r="I6">
        <v>44627</v>
      </c>
      <c r="J6">
        <v>1.55883333333333</v>
      </c>
      <c r="K6">
        <v>1.9092499999999999</v>
      </c>
      <c r="L6">
        <v>612.63765636694097</v>
      </c>
      <c r="M6">
        <v>53.947885295272997</v>
      </c>
      <c r="N6">
        <v>7.2019254500000005E-2</v>
      </c>
      <c r="O6">
        <v>41.2670328285</v>
      </c>
      <c r="P6">
        <v>1108.1436325437101</v>
      </c>
      <c r="Q6">
        <v>0.1431</v>
      </c>
      <c r="R6">
        <v>0.17380000000000001</v>
      </c>
      <c r="S6">
        <v>0.1239</v>
      </c>
      <c r="T6">
        <v>3.3270867000000002</v>
      </c>
      <c r="U6">
        <v>87.668448626109196</v>
      </c>
      <c r="V6">
        <v>9.3761424643184501</v>
      </c>
      <c r="W6">
        <v>137.29899607216501</v>
      </c>
      <c r="X6">
        <v>234.343587162593</v>
      </c>
      <c r="Y6">
        <v>456.55608219540198</v>
      </c>
      <c r="AB6">
        <v>0.62792526627302103</v>
      </c>
      <c r="AC6" t="s">
        <v>54</v>
      </c>
      <c r="AD6">
        <v>0.62792526627302103</v>
      </c>
      <c r="AE6">
        <v>147.150259368446</v>
      </c>
      <c r="AF6">
        <v>381.49384653103903</v>
      </c>
      <c r="AG6">
        <v>488</v>
      </c>
      <c r="AH6">
        <v>732</v>
      </c>
      <c r="AI6">
        <v>976</v>
      </c>
      <c r="AJ6">
        <v>536.79999999999995</v>
      </c>
      <c r="AK6">
        <v>805.2</v>
      </c>
      <c r="AL6">
        <v>1073.5999999999999</v>
      </c>
      <c r="AM6">
        <f>Table1[[#This Row],[gross_cost]]-Table1[[#This Row],[CCR_single_base]]</f>
        <v>-106.50615346896097</v>
      </c>
      <c r="AN6">
        <f>Table1[[#This Row],[gross_cost]]-Table1[[#This Row],[CCR_couple_base]]</f>
        <v>-350.50615346896097</v>
      </c>
      <c r="AO6">
        <f>Table1[[#This Row],[gross_cost]]-Table1[[#This Row],[CCR_family4_rural]]</f>
        <v>-692.10615346896088</v>
      </c>
      <c r="AP6">
        <v>-155.30615346895999</v>
      </c>
      <c r="AQ6">
        <v>-423.70615346896</v>
      </c>
      <c r="AR6">
        <v>-692.10615346895997</v>
      </c>
      <c r="AS6">
        <f>Table1[[#This Row],[direct_tax]]/Table1[[#This Row],[total_exp]]</f>
        <v>5.2511615650299819E-3</v>
      </c>
      <c r="AT6">
        <f>Table1[[#This Row],[gross_cost]]/Table1[[#This Row],[total_exp]]</f>
        <v>8.5484985889940843E-3</v>
      </c>
      <c r="AU6">
        <v>-2.3865855528930899E-3</v>
      </c>
      <c r="AV6">
        <v>-7.8541276238366896E-3</v>
      </c>
      <c r="AW6">
        <v>-1.33216696947802E-2</v>
      </c>
      <c r="AX6">
        <v>-3.4800939670818101E-3</v>
      </c>
      <c r="AY6">
        <v>-9.4943902451197701E-3</v>
      </c>
      <c r="AZ6">
        <v>-1.55086865231577E-2</v>
      </c>
    </row>
    <row r="7" spans="1:52" x14ac:dyDescent="0.2">
      <c r="A7" t="s">
        <v>52</v>
      </c>
      <c r="B7">
        <v>2024</v>
      </c>
      <c r="C7">
        <v>80</v>
      </c>
      <c r="D7" t="s">
        <v>53</v>
      </c>
      <c r="E7">
        <v>1417179</v>
      </c>
      <c r="F7">
        <v>955</v>
      </c>
      <c r="G7">
        <v>573</v>
      </c>
      <c r="H7">
        <v>103</v>
      </c>
      <c r="I7">
        <v>44627</v>
      </c>
      <c r="J7">
        <v>1.56883333333333</v>
      </c>
      <c r="K7">
        <v>1.6484722222222199</v>
      </c>
      <c r="L7">
        <v>608.73260384574496</v>
      </c>
      <c r="M7">
        <v>62.482096217035902</v>
      </c>
      <c r="N7">
        <v>7.2019254500000005E-2</v>
      </c>
      <c r="O7">
        <v>41.2670328285</v>
      </c>
      <c r="P7">
        <v>1108.1436325437101</v>
      </c>
      <c r="Q7">
        <v>0.17610000000000001</v>
      </c>
      <c r="R7">
        <v>0.21390000000000001</v>
      </c>
      <c r="S7">
        <v>0.1525</v>
      </c>
      <c r="T7">
        <v>4.0950825000000002</v>
      </c>
      <c r="U7">
        <v>107.197811537235</v>
      </c>
      <c r="V7">
        <v>13.3649203808239</v>
      </c>
      <c r="W7">
        <v>168.99190396291499</v>
      </c>
      <c r="X7">
        <v>289.55463588097501</v>
      </c>
      <c r="Y7">
        <v>566.79722728595004</v>
      </c>
      <c r="Z7">
        <v>869</v>
      </c>
      <c r="AA7">
        <v>0.53317616630045195</v>
      </c>
      <c r="AB7">
        <v>0.56414005691718105</v>
      </c>
      <c r="AC7" t="s">
        <v>55</v>
      </c>
      <c r="AD7">
        <v>0.53317616630045195</v>
      </c>
      <c r="AE7">
        <v>154.38363069354099</v>
      </c>
      <c r="AF7">
        <v>443.938266574517</v>
      </c>
      <c r="AG7">
        <v>560</v>
      </c>
      <c r="AH7">
        <v>840</v>
      </c>
      <c r="AI7">
        <v>1120</v>
      </c>
      <c r="AJ7">
        <v>672</v>
      </c>
      <c r="AK7">
        <v>1008</v>
      </c>
      <c r="AL7">
        <v>1344</v>
      </c>
      <c r="AM7">
        <f>Table1[[#This Row],[gross_cost]]-Table1[[#This Row],[CCR_single_base]]</f>
        <v>-116.061733425483</v>
      </c>
      <c r="AN7">
        <f>Table1[[#This Row],[gross_cost]]-Table1[[#This Row],[CCR_couple_base]]</f>
        <v>-396.061733425483</v>
      </c>
      <c r="AO7">
        <f>Table1[[#This Row],[gross_cost]]-Table1[[#This Row],[CCR_family4_rural]]</f>
        <v>-900.061733425483</v>
      </c>
      <c r="AP7">
        <v>-228.061733425482</v>
      </c>
      <c r="AQ7">
        <v>-564.06173342548198</v>
      </c>
      <c r="AR7">
        <v>-900.06173342548198</v>
      </c>
      <c r="AS7">
        <f>Table1[[#This Row],[direct_tax]]/Table1[[#This Row],[total_exp]]</f>
        <v>6.4883284980163354E-3</v>
      </c>
      <c r="AT7">
        <f>Table1[[#This Row],[gross_cost]]/Table1[[#This Row],[total_exp]]</f>
        <v>9.9477506122866658E-3</v>
      </c>
      <c r="AU7">
        <v>-2.6007065997150202E-3</v>
      </c>
      <c r="AV7">
        <v>-8.8749352057158701E-3</v>
      </c>
      <c r="AW7">
        <v>-1.5149163811716699E-2</v>
      </c>
      <c r="AX7">
        <v>-5.1103980421153602E-3</v>
      </c>
      <c r="AY7">
        <v>-1.26394723693163E-2</v>
      </c>
      <c r="AZ7">
        <v>-2.0168546696517398E-2</v>
      </c>
    </row>
    <row r="8" spans="1:52" x14ac:dyDescent="0.2">
      <c r="A8" t="s">
        <v>52</v>
      </c>
      <c r="B8">
        <v>2025</v>
      </c>
      <c r="C8">
        <v>0</v>
      </c>
      <c r="D8" t="s">
        <v>53</v>
      </c>
      <c r="E8">
        <v>1417179</v>
      </c>
      <c r="F8">
        <v>955</v>
      </c>
      <c r="G8">
        <v>573</v>
      </c>
      <c r="H8">
        <v>103</v>
      </c>
      <c r="I8">
        <v>44627</v>
      </c>
      <c r="J8">
        <v>1.39052777777777</v>
      </c>
      <c r="K8">
        <v>1.57161111111111</v>
      </c>
      <c r="L8">
        <v>686.78958828582199</v>
      </c>
      <c r="M8">
        <v>65.537841563858706</v>
      </c>
      <c r="N8">
        <v>7.2019254500000005E-2</v>
      </c>
      <c r="O8">
        <v>41.2670328285</v>
      </c>
      <c r="P8">
        <v>1108.1436325437101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B8">
        <v>0</v>
      </c>
      <c r="AC8" t="s">
        <v>56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f>Table1[[#This Row],[gross_cost]]-Table1[[#This Row],[CCR_single_base]]</f>
        <v>0</v>
      </c>
      <c r="AN8">
        <f>Table1[[#This Row],[gross_cost]]-Table1[[#This Row],[CCR_couple_base]]</f>
        <v>0</v>
      </c>
      <c r="AO8">
        <f>Table1[[#This Row],[gross_cost]]-Table1[[#This Row],[CCR_family4_rural]]</f>
        <v>0</v>
      </c>
      <c r="AP8">
        <v>0</v>
      </c>
      <c r="AQ8">
        <v>0</v>
      </c>
      <c r="AR8">
        <v>0</v>
      </c>
      <c r="AS8">
        <f>Table1[[#This Row],[direct_tax]]/Table1[[#This Row],[total_exp]]</f>
        <v>0</v>
      </c>
      <c r="AT8">
        <f>Table1[[#This Row],[gross_cost]]/Table1[[#This Row],[total_exp]]</f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52</v>
      </c>
      <c r="B9">
        <v>2019</v>
      </c>
      <c r="C9">
        <v>20</v>
      </c>
      <c r="D9" t="s">
        <v>57</v>
      </c>
      <c r="E9">
        <v>1045892</v>
      </c>
      <c r="F9">
        <v>1760</v>
      </c>
      <c r="G9">
        <v>739</v>
      </c>
      <c r="H9">
        <v>68</v>
      </c>
      <c r="I9">
        <v>61243</v>
      </c>
      <c r="J9">
        <v>1.2092499999999999</v>
      </c>
      <c r="K9">
        <v>1.3276666666666599</v>
      </c>
      <c r="L9">
        <v>1455.4475914823199</v>
      </c>
      <c r="M9">
        <v>51.217675119256803</v>
      </c>
      <c r="N9">
        <v>7.2019254500000005E-2</v>
      </c>
      <c r="O9">
        <v>53.222229075500003</v>
      </c>
      <c r="P9">
        <v>1429.1765173644001</v>
      </c>
      <c r="Q9">
        <v>4.4200000000000003E-2</v>
      </c>
      <c r="R9">
        <v>5.3699999999999998E-2</v>
      </c>
      <c r="S9">
        <v>3.9100000000000003E-2</v>
      </c>
      <c r="T9">
        <v>1.0499522999999999</v>
      </c>
      <c r="U9">
        <v>64.330783543518706</v>
      </c>
      <c r="V9">
        <v>2.7503891539040901</v>
      </c>
      <c r="W9">
        <v>55.880801828948101</v>
      </c>
      <c r="X9">
        <v>122.96197452637</v>
      </c>
      <c r="Y9">
        <v>157.498870259824</v>
      </c>
      <c r="AB9">
        <v>0.81928089434053997</v>
      </c>
      <c r="AC9" t="s">
        <v>54</v>
      </c>
      <c r="AD9">
        <v>0.81928089434053997</v>
      </c>
      <c r="AE9">
        <v>100.740396459843</v>
      </c>
      <c r="AF9">
        <v>223.70237098621399</v>
      </c>
      <c r="AG9">
        <v>154</v>
      </c>
      <c r="AH9">
        <v>231</v>
      </c>
      <c r="AI9">
        <v>307</v>
      </c>
      <c r="AJ9">
        <v>169.4</v>
      </c>
      <c r="AK9">
        <v>254.1</v>
      </c>
      <c r="AL9">
        <v>337.7</v>
      </c>
      <c r="AM9">
        <f>Table1[[#This Row],[gross_cost]]-Table1[[#This Row],[CCR_single_base]]</f>
        <v>69.702370986213992</v>
      </c>
      <c r="AN9">
        <f>Table1[[#This Row],[gross_cost]]-Table1[[#This Row],[CCR_couple_base]]</f>
        <v>-7.2976290137860076</v>
      </c>
      <c r="AO9">
        <f>Table1[[#This Row],[gross_cost]]-Table1[[#This Row],[CCR_family4_rural]]</f>
        <v>-113.997629013786</v>
      </c>
      <c r="AP9">
        <v>54.302370986214697</v>
      </c>
      <c r="AQ9">
        <v>-30.397629013785199</v>
      </c>
      <c r="AR9">
        <v>-113.997629013785</v>
      </c>
      <c r="AS9">
        <f>Table1[[#This Row],[direct_tax]]/Table1[[#This Row],[total_exp]]</f>
        <v>2.0077719008926736E-3</v>
      </c>
      <c r="AT9">
        <f>Table1[[#This Row],[gross_cost]]/Table1[[#This Row],[total_exp]]</f>
        <v>3.6527010594878434E-3</v>
      </c>
      <c r="AU9">
        <v>1.13812796541996E-3</v>
      </c>
      <c r="AV9">
        <v>-1.1915858161398299E-4</v>
      </c>
      <c r="AW9">
        <v>-1.3601167319332E-3</v>
      </c>
      <c r="AX9">
        <v>8.8667065601317303E-4</v>
      </c>
      <c r="AY9">
        <v>-4.9634454572416802E-4</v>
      </c>
      <c r="AZ9">
        <v>-1.8613985110753099E-3</v>
      </c>
    </row>
    <row r="10" spans="1:52" x14ac:dyDescent="0.2">
      <c r="A10" t="s">
        <v>52</v>
      </c>
      <c r="B10">
        <v>2020</v>
      </c>
      <c r="C10">
        <v>30</v>
      </c>
      <c r="D10" t="s">
        <v>57</v>
      </c>
      <c r="E10">
        <v>1054243</v>
      </c>
      <c r="F10">
        <v>1512.5</v>
      </c>
      <c r="G10">
        <v>662.5</v>
      </c>
      <c r="H10">
        <v>94</v>
      </c>
      <c r="I10">
        <v>58542.5</v>
      </c>
      <c r="J10">
        <v>1.0371666666666599</v>
      </c>
      <c r="K10">
        <v>1.17475</v>
      </c>
      <c r="L10">
        <v>1458.29985537522</v>
      </c>
      <c r="M10">
        <v>80.017024898914599</v>
      </c>
      <c r="N10">
        <v>7.2019254500000005E-2</v>
      </c>
      <c r="O10">
        <v>47.712756106249998</v>
      </c>
      <c r="P10">
        <v>1281.23063972113</v>
      </c>
      <c r="Q10">
        <v>6.6299999999999998E-2</v>
      </c>
      <c r="R10">
        <v>8.0500000000000002E-2</v>
      </c>
      <c r="S10">
        <v>5.8700000000000002E-2</v>
      </c>
      <c r="T10">
        <v>1.5762711</v>
      </c>
      <c r="U10">
        <v>96.685280411377093</v>
      </c>
      <c r="V10">
        <v>6.4413705043626299</v>
      </c>
      <c r="W10">
        <v>75.208238551630402</v>
      </c>
      <c r="X10">
        <v>178.33488946737</v>
      </c>
      <c r="Y10">
        <v>246.339619032857</v>
      </c>
      <c r="AB10">
        <v>0.77675742143664706</v>
      </c>
      <c r="AC10" t="s">
        <v>54</v>
      </c>
      <c r="AD10">
        <v>0.77675742143664706</v>
      </c>
      <c r="AE10">
        <v>138.52294889486299</v>
      </c>
      <c r="AF10">
        <v>316.85783836223402</v>
      </c>
      <c r="AG10">
        <v>224</v>
      </c>
      <c r="AH10">
        <v>336</v>
      </c>
      <c r="AI10">
        <v>448</v>
      </c>
      <c r="AJ10">
        <v>246.4</v>
      </c>
      <c r="AK10">
        <v>369.6</v>
      </c>
      <c r="AL10">
        <v>492.8</v>
      </c>
      <c r="AM10">
        <f>Table1[[#This Row],[gross_cost]]-Table1[[#This Row],[CCR_single_base]]</f>
        <v>92.85783836223402</v>
      </c>
      <c r="AN10">
        <f>Table1[[#This Row],[gross_cost]]-Table1[[#This Row],[CCR_couple_base]]</f>
        <v>-19.14216163776598</v>
      </c>
      <c r="AO10">
        <f>Table1[[#This Row],[gross_cost]]-Table1[[#This Row],[CCR_family4_rural]]</f>
        <v>-175.94216163776599</v>
      </c>
      <c r="AP10">
        <v>70.457838362234099</v>
      </c>
      <c r="AQ10">
        <v>-52.742161637765797</v>
      </c>
      <c r="AR10">
        <v>-175.942161637765</v>
      </c>
      <c r="AS10">
        <f>Table1[[#This Row],[direct_tax]]/Table1[[#This Row],[total_exp]]</f>
        <v>3.0462465639043432E-3</v>
      </c>
      <c r="AT10">
        <f>Table1[[#This Row],[gross_cost]]/Table1[[#This Row],[total_exp]]</f>
        <v>5.4124411899429308E-3</v>
      </c>
      <c r="AU10">
        <v>1.58616113698994E-3</v>
      </c>
      <c r="AV10">
        <v>-3.2697888948654102E-4</v>
      </c>
      <c r="AW10">
        <v>-2.24011891596303E-3</v>
      </c>
      <c r="AX10">
        <v>1.2035331316946501E-3</v>
      </c>
      <c r="AY10">
        <v>-9.0092089742948905E-4</v>
      </c>
      <c r="AZ10">
        <v>-3.0053749265536302E-3</v>
      </c>
    </row>
    <row r="11" spans="1:52" x14ac:dyDescent="0.2">
      <c r="A11" t="s">
        <v>52</v>
      </c>
      <c r="B11">
        <v>2021</v>
      </c>
      <c r="C11">
        <v>40</v>
      </c>
      <c r="D11" t="s">
        <v>57</v>
      </c>
      <c r="E11">
        <v>1051434</v>
      </c>
      <c r="F11">
        <v>1265</v>
      </c>
      <c r="G11">
        <v>586</v>
      </c>
      <c r="H11">
        <v>120</v>
      </c>
      <c r="I11">
        <v>55842</v>
      </c>
      <c r="J11">
        <v>1.3430555555555499</v>
      </c>
      <c r="K11">
        <v>1.40994444444444</v>
      </c>
      <c r="L11">
        <v>941.88210961737298</v>
      </c>
      <c r="M11">
        <v>85.109736396233103</v>
      </c>
      <c r="N11">
        <v>7.2019254500000005E-2</v>
      </c>
      <c r="O11">
        <v>42.203283137</v>
      </c>
      <c r="P11">
        <v>1133.28476207786</v>
      </c>
      <c r="Q11">
        <v>8.8400000000000006E-2</v>
      </c>
      <c r="R11">
        <v>0.10730000000000001</v>
      </c>
      <c r="S11">
        <v>7.8299999999999995E-2</v>
      </c>
      <c r="T11">
        <v>2.1025898999999999</v>
      </c>
      <c r="U11">
        <v>83.262378490175806</v>
      </c>
      <c r="V11">
        <v>9.1322747153158108</v>
      </c>
      <c r="W11">
        <v>88.736196870696503</v>
      </c>
      <c r="X11">
        <v>181.13085007618801</v>
      </c>
      <c r="Y11">
        <v>267.464017856954</v>
      </c>
      <c r="Z11">
        <v>439</v>
      </c>
      <c r="AA11">
        <v>0.64134227668256505</v>
      </c>
      <c r="AB11">
        <v>0.73423394853275403</v>
      </c>
      <c r="AC11" t="s">
        <v>55</v>
      </c>
      <c r="AD11">
        <v>0.64134227668256505</v>
      </c>
      <c r="AE11">
        <v>116.16687176531001</v>
      </c>
      <c r="AF11">
        <v>297.29772184149903</v>
      </c>
      <c r="AG11">
        <v>300</v>
      </c>
      <c r="AH11">
        <v>450</v>
      </c>
      <c r="AI11">
        <v>600</v>
      </c>
      <c r="AJ11">
        <v>330</v>
      </c>
      <c r="AK11">
        <v>495</v>
      </c>
      <c r="AL11">
        <v>660</v>
      </c>
      <c r="AM11">
        <f>Table1[[#This Row],[gross_cost]]-Table1[[#This Row],[CCR_single_base]]</f>
        <v>-2.7022781585009739</v>
      </c>
      <c r="AN11">
        <f>Table1[[#This Row],[gross_cost]]-Table1[[#This Row],[CCR_couple_base]]</f>
        <v>-152.70227815850097</v>
      </c>
      <c r="AO11">
        <f>Table1[[#This Row],[gross_cost]]-Table1[[#This Row],[CCR_family4_rural]]</f>
        <v>-362.70227815850097</v>
      </c>
      <c r="AP11">
        <v>-32.702278158500803</v>
      </c>
      <c r="AQ11">
        <v>-197.70227815850001</v>
      </c>
      <c r="AR11">
        <v>-362.70227815850001</v>
      </c>
      <c r="AS11">
        <f>Table1[[#This Row],[direct_tax]]/Table1[[#This Row],[total_exp]]</f>
        <v>3.2436311392175783E-3</v>
      </c>
      <c r="AT11">
        <f>Table1[[#This Row],[gross_cost]]/Table1[[#This Row],[total_exp]]</f>
        <v>5.3239089187618466E-3</v>
      </c>
      <c r="AU11" s="1">
        <v>-4.8391500277584202E-5</v>
      </c>
      <c r="AV11">
        <v>-2.7345417097973E-3</v>
      </c>
      <c r="AW11">
        <v>-5.4206919193170097E-3</v>
      </c>
      <c r="AX11">
        <v>-5.8562154218152703E-4</v>
      </c>
      <c r="AY11">
        <v>-3.54038677265321E-3</v>
      </c>
      <c r="AZ11">
        <v>-6.4951520031249002E-3</v>
      </c>
    </row>
    <row r="12" spans="1:52" x14ac:dyDescent="0.2">
      <c r="A12" t="s">
        <v>52</v>
      </c>
      <c r="B12">
        <v>2022</v>
      </c>
      <c r="C12">
        <v>50</v>
      </c>
      <c r="D12" t="s">
        <v>57</v>
      </c>
      <c r="E12">
        <v>1028033</v>
      </c>
      <c r="F12">
        <v>1719</v>
      </c>
      <c r="G12">
        <v>703.5</v>
      </c>
      <c r="H12">
        <v>137</v>
      </c>
      <c r="I12">
        <v>64912.5</v>
      </c>
      <c r="J12">
        <v>1.6998888888888799</v>
      </c>
      <c r="K12">
        <v>2.18194444444444</v>
      </c>
      <c r="L12">
        <v>1011.24256487352</v>
      </c>
      <c r="M12">
        <v>62.7880330999363</v>
      </c>
      <c r="N12">
        <v>7.2019254500000005E-2</v>
      </c>
      <c r="O12">
        <v>50.665545540750003</v>
      </c>
      <c r="P12">
        <v>1360.5218944057599</v>
      </c>
      <c r="Q12">
        <v>0.1105</v>
      </c>
      <c r="R12">
        <v>0.1341</v>
      </c>
      <c r="S12">
        <v>9.7900000000000001E-2</v>
      </c>
      <c r="T12">
        <v>2.6289087000000002</v>
      </c>
      <c r="U12">
        <v>111.742303418524</v>
      </c>
      <c r="V12">
        <v>8.4198752387014597</v>
      </c>
      <c r="W12">
        <v>133.195093462323</v>
      </c>
      <c r="X12">
        <v>253.35727211954901</v>
      </c>
      <c r="Y12">
        <v>318.35801500573501</v>
      </c>
      <c r="Z12">
        <v>578</v>
      </c>
      <c r="AA12">
        <v>0.81556603809577799</v>
      </c>
      <c r="AB12">
        <v>0.69171047562886001</v>
      </c>
      <c r="AC12" t="s">
        <v>55</v>
      </c>
      <c r="AD12">
        <v>0.81556603809577799</v>
      </c>
      <c r="AE12">
        <v>206.62958664529401</v>
      </c>
      <c r="AF12">
        <v>459.98685876484399</v>
      </c>
      <c r="AG12">
        <v>373</v>
      </c>
      <c r="AH12">
        <v>559</v>
      </c>
      <c r="AI12">
        <v>745</v>
      </c>
      <c r="AJ12">
        <v>410.3</v>
      </c>
      <c r="AK12">
        <v>614.9</v>
      </c>
      <c r="AL12">
        <v>819.5</v>
      </c>
      <c r="AM12">
        <f>Table1[[#This Row],[gross_cost]]-Table1[[#This Row],[CCR_single_base]]</f>
        <v>86.986858764843987</v>
      </c>
      <c r="AN12">
        <f>Table1[[#This Row],[gross_cost]]-Table1[[#This Row],[CCR_couple_base]]</f>
        <v>-99.013141235156013</v>
      </c>
      <c r="AO12">
        <f>Table1[[#This Row],[gross_cost]]-Table1[[#This Row],[CCR_family4_rural]]</f>
        <v>-359.51314123515601</v>
      </c>
      <c r="AP12">
        <v>49.686858764844402</v>
      </c>
      <c r="AQ12">
        <v>-154.913141235155</v>
      </c>
      <c r="AR12">
        <v>-359.51314123515499</v>
      </c>
      <c r="AS12">
        <f>Table1[[#This Row],[direct_tax]]/Table1[[#This Row],[total_exp]]</f>
        <v>3.9030583034014867E-3</v>
      </c>
      <c r="AT12">
        <f>Table1[[#This Row],[gross_cost]]/Table1[[#This Row],[total_exp]]</f>
        <v>7.0862601003634741E-3</v>
      </c>
      <c r="AU12">
        <v>1.3400632969743E-3</v>
      </c>
      <c r="AV12">
        <v>-1.5253324280401299E-3</v>
      </c>
      <c r="AW12">
        <v>-4.3907281530545803E-3</v>
      </c>
      <c r="AX12">
        <v>7.6544361663538499E-4</v>
      </c>
      <c r="AY12">
        <v>-2.3864916808805001E-3</v>
      </c>
      <c r="AZ12">
        <v>-5.5384269783963899E-3</v>
      </c>
    </row>
    <row r="13" spans="1:52" x14ac:dyDescent="0.2">
      <c r="A13" t="s">
        <v>52</v>
      </c>
      <c r="B13">
        <v>2023</v>
      </c>
      <c r="C13">
        <v>65</v>
      </c>
      <c r="D13" t="s">
        <v>57</v>
      </c>
      <c r="E13">
        <v>1047929</v>
      </c>
      <c r="F13">
        <v>2173</v>
      </c>
      <c r="G13">
        <v>821</v>
      </c>
      <c r="H13">
        <v>154</v>
      </c>
      <c r="I13">
        <v>73983</v>
      </c>
      <c r="J13">
        <v>1.55883333333333</v>
      </c>
      <c r="K13">
        <v>1.9092499999999999</v>
      </c>
      <c r="L13">
        <v>1393.99123275954</v>
      </c>
      <c r="M13">
        <v>80.659945004582895</v>
      </c>
      <c r="N13">
        <v>7.2019254500000005E-2</v>
      </c>
      <c r="O13">
        <v>59.127807944499999</v>
      </c>
      <c r="P13">
        <v>1587.75902673365</v>
      </c>
      <c r="Q13">
        <v>0.1431</v>
      </c>
      <c r="R13">
        <v>0.17380000000000001</v>
      </c>
      <c r="S13">
        <v>0.1239</v>
      </c>
      <c r="T13">
        <v>3.3270867000000002</v>
      </c>
      <c r="U13">
        <v>199.48014540789001</v>
      </c>
      <c r="V13">
        <v>14.0186984417965</v>
      </c>
      <c r="W13">
        <v>196.72334341230001</v>
      </c>
      <c r="X13">
        <v>410.22218726198702</v>
      </c>
      <c r="Y13">
        <v>456.55608219540198</v>
      </c>
      <c r="AB13">
        <v>0.62792526627302103</v>
      </c>
      <c r="AC13" t="s">
        <v>54</v>
      </c>
      <c r="AD13">
        <v>0.62792526627302103</v>
      </c>
      <c r="AE13">
        <v>257.58887616758398</v>
      </c>
      <c r="AF13">
        <v>667.81106342957196</v>
      </c>
      <c r="AG13">
        <v>488</v>
      </c>
      <c r="AH13">
        <v>732</v>
      </c>
      <c r="AI13">
        <v>976</v>
      </c>
      <c r="AJ13">
        <v>536.79999999999995</v>
      </c>
      <c r="AK13">
        <v>805.2</v>
      </c>
      <c r="AL13">
        <v>1073.5999999999999</v>
      </c>
      <c r="AM13">
        <f>Table1[[#This Row],[gross_cost]]-Table1[[#This Row],[CCR_single_base]]</f>
        <v>179.81106342957196</v>
      </c>
      <c r="AN13">
        <f>Table1[[#This Row],[gross_cost]]-Table1[[#This Row],[CCR_couple_base]]</f>
        <v>-64.188936570428041</v>
      </c>
      <c r="AO13">
        <f>Table1[[#This Row],[gross_cost]]-Table1[[#This Row],[CCR_family4_rural]]</f>
        <v>-405.78893657042795</v>
      </c>
      <c r="AP13">
        <v>131.011063429572</v>
      </c>
      <c r="AQ13">
        <v>-137.38893657042701</v>
      </c>
      <c r="AR13">
        <v>-405.78893657042801</v>
      </c>
      <c r="AS13">
        <f>Table1[[#This Row],[direct_tax]]/Table1[[#This Row],[total_exp]]</f>
        <v>5.5448168803912661E-3</v>
      </c>
      <c r="AT13">
        <f>Table1[[#This Row],[gross_cost]]/Table1[[#This Row],[total_exp]]</f>
        <v>9.0265474964461023E-3</v>
      </c>
      <c r="AU13">
        <v>2.4304375793029699E-3</v>
      </c>
      <c r="AV13">
        <v>-8.6761737926858702E-4</v>
      </c>
      <c r="AW13">
        <v>-4.1656723378401504E-3</v>
      </c>
      <c r="AX13">
        <v>1.7708265875886601E-3</v>
      </c>
      <c r="AY13">
        <v>-1.8570338668400499E-3</v>
      </c>
      <c r="AZ13">
        <v>-5.48489432126877E-3</v>
      </c>
    </row>
    <row r="14" spans="1:52" x14ac:dyDescent="0.2">
      <c r="A14" t="s">
        <v>52</v>
      </c>
      <c r="B14">
        <v>2024</v>
      </c>
      <c r="C14">
        <v>80</v>
      </c>
      <c r="D14" t="s">
        <v>57</v>
      </c>
      <c r="E14">
        <v>1099841</v>
      </c>
      <c r="F14">
        <v>2173</v>
      </c>
      <c r="G14">
        <v>821</v>
      </c>
      <c r="H14">
        <v>154</v>
      </c>
      <c r="I14">
        <v>73983</v>
      </c>
      <c r="J14">
        <v>1.56883333333333</v>
      </c>
      <c r="K14">
        <v>1.6484722222222199</v>
      </c>
      <c r="L14">
        <v>1385.10570487623</v>
      </c>
      <c r="M14">
        <v>93.419833178869297</v>
      </c>
      <c r="N14">
        <v>7.2019254500000005E-2</v>
      </c>
      <c r="O14">
        <v>59.127807944499999</v>
      </c>
      <c r="P14">
        <v>1587.75902673365</v>
      </c>
      <c r="Q14">
        <v>0.17610000000000001</v>
      </c>
      <c r="R14">
        <v>0.21390000000000001</v>
      </c>
      <c r="S14">
        <v>0.1525</v>
      </c>
      <c r="T14">
        <v>4.0950825000000002</v>
      </c>
      <c r="U14">
        <v>243.91711462870401</v>
      </c>
      <c r="V14">
        <v>19.982502316960101</v>
      </c>
      <c r="W14">
        <v>242.133251576882</v>
      </c>
      <c r="X14">
        <v>506.03286852254797</v>
      </c>
      <c r="Y14">
        <v>566.79722728595004</v>
      </c>
      <c r="Z14">
        <v>869</v>
      </c>
      <c r="AA14">
        <v>0.53317616630045195</v>
      </c>
      <c r="AB14">
        <v>0.56414005691718105</v>
      </c>
      <c r="AC14" t="s">
        <v>55</v>
      </c>
      <c r="AD14">
        <v>0.53317616630045195</v>
      </c>
      <c r="AE14">
        <v>269.80466486087198</v>
      </c>
      <c r="AF14">
        <v>775.83753338342103</v>
      </c>
      <c r="AG14">
        <v>560</v>
      </c>
      <c r="AH14">
        <v>840</v>
      </c>
      <c r="AI14">
        <v>1120</v>
      </c>
      <c r="AJ14">
        <v>672</v>
      </c>
      <c r="AK14">
        <v>1008</v>
      </c>
      <c r="AL14">
        <v>1344</v>
      </c>
      <c r="AM14">
        <f>Table1[[#This Row],[gross_cost]]-Table1[[#This Row],[CCR_single_base]]</f>
        <v>215.83753338342103</v>
      </c>
      <c r="AN14">
        <f>Table1[[#This Row],[gross_cost]]-Table1[[#This Row],[CCR_couple_base]]</f>
        <v>-64.162466616578968</v>
      </c>
      <c r="AO14">
        <f>Table1[[#This Row],[gross_cost]]-Table1[[#This Row],[CCR_family4_rural]]</f>
        <v>-568.16246661657897</v>
      </c>
      <c r="AP14">
        <v>103.837533383421</v>
      </c>
      <c r="AQ14">
        <v>-232.162466616578</v>
      </c>
      <c r="AR14">
        <v>-568.16246661657897</v>
      </c>
      <c r="AS14">
        <f>Table1[[#This Row],[direct_tax]]/Table1[[#This Row],[total_exp]]</f>
        <v>6.8398533247171376E-3</v>
      </c>
      <c r="AT14">
        <f>Table1[[#This Row],[gross_cost]]/Table1[[#This Row],[total_exp]]</f>
        <v>1.0486700098447224E-2</v>
      </c>
      <c r="AU14">
        <v>2.9173936361518299E-3</v>
      </c>
      <c r="AV14">
        <v>-8.6725959499586302E-4</v>
      </c>
      <c r="AW14">
        <v>-4.6519128261435496E-3</v>
      </c>
      <c r="AX14">
        <v>1.4035323436927499E-3</v>
      </c>
      <c r="AY14">
        <v>-3.1380515336844801E-3</v>
      </c>
      <c r="AZ14">
        <v>-7.6796354110617096E-3</v>
      </c>
    </row>
    <row r="15" spans="1:52" x14ac:dyDescent="0.2">
      <c r="A15" t="s">
        <v>52</v>
      </c>
      <c r="B15">
        <v>2025</v>
      </c>
      <c r="C15">
        <v>0</v>
      </c>
      <c r="D15" t="s">
        <v>57</v>
      </c>
      <c r="E15">
        <v>1099841</v>
      </c>
      <c r="F15">
        <v>2173</v>
      </c>
      <c r="G15">
        <v>821</v>
      </c>
      <c r="H15">
        <v>154</v>
      </c>
      <c r="I15">
        <v>73983</v>
      </c>
      <c r="J15">
        <v>1.39052777777777</v>
      </c>
      <c r="K15">
        <v>1.57161111111111</v>
      </c>
      <c r="L15">
        <v>1562.7159951257499</v>
      </c>
      <c r="M15">
        <v>97.988617483827596</v>
      </c>
      <c r="N15">
        <v>7.2019254500000005E-2</v>
      </c>
      <c r="O15">
        <v>59.127807944499999</v>
      </c>
      <c r="P15">
        <v>1587.75902673365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B15">
        <v>0</v>
      </c>
      <c r="AC15" t="s">
        <v>56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f>Table1[[#This Row],[gross_cost]]-Table1[[#This Row],[CCR_single_base]]</f>
        <v>0</v>
      </c>
      <c r="AN15">
        <f>Table1[[#This Row],[gross_cost]]-Table1[[#This Row],[CCR_couple_base]]</f>
        <v>0</v>
      </c>
      <c r="AO15">
        <f>Table1[[#This Row],[gross_cost]]-Table1[[#This Row],[CCR_family4_rural]]</f>
        <v>0</v>
      </c>
      <c r="AP15">
        <v>0</v>
      </c>
      <c r="AQ15">
        <v>0</v>
      </c>
      <c r="AR15">
        <v>0</v>
      </c>
      <c r="AS15">
        <f>Table1[[#This Row],[direct_tax]]/Table1[[#This Row],[total_exp]]</f>
        <v>0</v>
      </c>
      <c r="AT15">
        <f>Table1[[#This Row],[gross_cost]]/Table1[[#This Row],[total_exp]]</f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52</v>
      </c>
      <c r="B16">
        <v>2019</v>
      </c>
      <c r="C16">
        <v>20</v>
      </c>
      <c r="D16" t="s">
        <v>58</v>
      </c>
      <c r="E16">
        <v>1102064</v>
      </c>
      <c r="F16">
        <v>2696</v>
      </c>
      <c r="G16">
        <v>839</v>
      </c>
      <c r="H16">
        <v>149</v>
      </c>
      <c r="I16">
        <v>80919</v>
      </c>
      <c r="J16">
        <v>1.2092499999999999</v>
      </c>
      <c r="K16">
        <v>1.3276666666666599</v>
      </c>
      <c r="L16">
        <v>2229.4810833161</v>
      </c>
      <c r="M16">
        <v>112.226964599548</v>
      </c>
      <c r="N16">
        <v>7.2019254500000005E-2</v>
      </c>
      <c r="O16">
        <v>60.424154525500001</v>
      </c>
      <c r="P16">
        <v>1622.5698214732499</v>
      </c>
      <c r="Q16">
        <v>4.4200000000000003E-2</v>
      </c>
      <c r="R16">
        <v>5.3699999999999998E-2</v>
      </c>
      <c r="S16">
        <v>3.9100000000000003E-2</v>
      </c>
      <c r="T16">
        <v>1.0499522999999999</v>
      </c>
      <c r="U16">
        <v>98.543063882571801</v>
      </c>
      <c r="V16">
        <v>6.0265879989957298</v>
      </c>
      <c r="W16">
        <v>63.442480019604098</v>
      </c>
      <c r="X16">
        <v>168.01213190117099</v>
      </c>
      <c r="Y16">
        <v>157.498870259824</v>
      </c>
      <c r="AB16">
        <v>0.81928089434053997</v>
      </c>
      <c r="AC16" t="s">
        <v>54</v>
      </c>
      <c r="AD16">
        <v>0.81928089434053997</v>
      </c>
      <c r="AE16">
        <v>137.64912968405201</v>
      </c>
      <c r="AF16">
        <v>305.661261585224</v>
      </c>
      <c r="AG16">
        <v>154</v>
      </c>
      <c r="AH16">
        <v>231</v>
      </c>
      <c r="AI16">
        <v>307</v>
      </c>
      <c r="AJ16">
        <v>169.4</v>
      </c>
      <c r="AK16">
        <v>254.1</v>
      </c>
      <c r="AL16">
        <v>337.7</v>
      </c>
      <c r="AM16">
        <f>Table1[[#This Row],[gross_cost]]-Table1[[#This Row],[CCR_single_base]]</f>
        <v>151.661261585224</v>
      </c>
      <c r="AN16">
        <f>Table1[[#This Row],[gross_cost]]-Table1[[#This Row],[CCR_couple_base]]</f>
        <v>74.661261585223997</v>
      </c>
      <c r="AO16">
        <f>Table1[[#This Row],[gross_cost]]-Table1[[#This Row],[CCR_family4_rural]]</f>
        <v>-32.038738414775992</v>
      </c>
      <c r="AP16">
        <v>136.26126158522399</v>
      </c>
      <c r="AQ16">
        <v>51.561261585224401</v>
      </c>
      <c r="AR16">
        <v>-32.038738414775501</v>
      </c>
      <c r="AS16">
        <f>Table1[[#This Row],[direct_tax]]/Table1[[#This Row],[total_exp]]</f>
        <v>2.0763001507825233E-3</v>
      </c>
      <c r="AT16">
        <f>Table1[[#This Row],[gross_cost]]/Table1[[#This Row],[total_exp]]</f>
        <v>3.7773731952350374E-3</v>
      </c>
      <c r="AU16">
        <v>1.8742354896282001E-3</v>
      </c>
      <c r="AV16">
        <v>9.22666636824781E-4</v>
      </c>
      <c r="AW16" s="1">
        <v>-1.6544178929244599E-5</v>
      </c>
      <c r="AX16">
        <v>1.6839217190675101E-3</v>
      </c>
      <c r="AY16">
        <v>6.3719598098375399E-4</v>
      </c>
      <c r="AZ16">
        <v>-3.9593591634567402E-4</v>
      </c>
    </row>
    <row r="17" spans="1:52" x14ac:dyDescent="0.2">
      <c r="A17" t="s">
        <v>52</v>
      </c>
      <c r="B17">
        <v>2020</v>
      </c>
      <c r="C17">
        <v>30</v>
      </c>
      <c r="D17" t="s">
        <v>58</v>
      </c>
      <c r="E17">
        <v>1097704</v>
      </c>
      <c r="F17">
        <v>2151</v>
      </c>
      <c r="G17">
        <v>807.5</v>
      </c>
      <c r="H17">
        <v>147</v>
      </c>
      <c r="I17">
        <v>81100.5</v>
      </c>
      <c r="J17">
        <v>1.0371666666666599</v>
      </c>
      <c r="K17">
        <v>1.17475</v>
      </c>
      <c r="L17">
        <v>2073.9193315121302</v>
      </c>
      <c r="M17">
        <v>125.13300702277</v>
      </c>
      <c r="N17">
        <v>7.2019254500000005E-2</v>
      </c>
      <c r="O17">
        <v>58.155548008750003</v>
      </c>
      <c r="P17">
        <v>1561.6509306789601</v>
      </c>
      <c r="Q17">
        <v>6.6299999999999998E-2</v>
      </c>
      <c r="R17">
        <v>8.0500000000000002E-2</v>
      </c>
      <c r="S17">
        <v>5.8700000000000002E-2</v>
      </c>
      <c r="T17">
        <v>1.5762711</v>
      </c>
      <c r="U17">
        <v>137.500851679254</v>
      </c>
      <c r="V17">
        <v>10.073207065332999</v>
      </c>
      <c r="W17">
        <v>91.668909630855197</v>
      </c>
      <c r="X17">
        <v>239.24296837544199</v>
      </c>
      <c r="Y17">
        <v>246.339619032857</v>
      </c>
      <c r="AB17">
        <v>0.77675742143664706</v>
      </c>
      <c r="AC17" t="s">
        <v>54</v>
      </c>
      <c r="AD17">
        <v>0.77675742143664706</v>
      </c>
      <c r="AE17">
        <v>185.83375121215801</v>
      </c>
      <c r="AF17">
        <v>425.0767195876</v>
      </c>
      <c r="AG17">
        <v>224</v>
      </c>
      <c r="AH17">
        <v>336</v>
      </c>
      <c r="AI17">
        <v>448</v>
      </c>
      <c r="AJ17">
        <v>246.4</v>
      </c>
      <c r="AK17">
        <v>369.6</v>
      </c>
      <c r="AL17">
        <v>492.8</v>
      </c>
      <c r="AM17">
        <f>Table1[[#This Row],[gross_cost]]-Table1[[#This Row],[CCR_single_base]]</f>
        <v>201.0767195876</v>
      </c>
      <c r="AN17">
        <f>Table1[[#This Row],[gross_cost]]-Table1[[#This Row],[CCR_couple_base]]</f>
        <v>89.076719587599996</v>
      </c>
      <c r="AO17">
        <f>Table1[[#This Row],[gross_cost]]-Table1[[#This Row],[CCR_family4_rural]]</f>
        <v>-67.723280412400015</v>
      </c>
      <c r="AP17">
        <v>178.67671958759999</v>
      </c>
      <c r="AQ17">
        <v>55.476719587600599</v>
      </c>
      <c r="AR17">
        <v>-67.723280412399404</v>
      </c>
      <c r="AS17">
        <f>Table1[[#This Row],[direct_tax]]/Table1[[#This Row],[total_exp]]</f>
        <v>2.9499567619859558E-3</v>
      </c>
      <c r="AT17">
        <f>Table1[[#This Row],[gross_cost]]/Table1[[#This Row],[total_exp]]</f>
        <v>5.241357569775772E-3</v>
      </c>
      <c r="AU17">
        <v>2.4793524033464701E-3</v>
      </c>
      <c r="AV17">
        <v>1.0983498201318101E-3</v>
      </c>
      <c r="AW17">
        <v>-2.82652763082834E-4</v>
      </c>
      <c r="AX17">
        <v>2.20315188670354E-3</v>
      </c>
      <c r="AY17">
        <v>6.8404904516742302E-4</v>
      </c>
      <c r="AZ17">
        <v>-8.3505379636869602E-4</v>
      </c>
    </row>
    <row r="18" spans="1:52" x14ac:dyDescent="0.2">
      <c r="A18" t="s">
        <v>52</v>
      </c>
      <c r="B18">
        <v>2021</v>
      </c>
      <c r="C18">
        <v>40</v>
      </c>
      <c r="D18" t="s">
        <v>58</v>
      </c>
      <c r="E18">
        <v>1100936</v>
      </c>
      <c r="F18">
        <v>1606</v>
      </c>
      <c r="G18">
        <v>776</v>
      </c>
      <c r="H18">
        <v>145</v>
      </c>
      <c r="I18">
        <v>81282</v>
      </c>
      <c r="J18">
        <v>1.3430555555555499</v>
      </c>
      <c r="K18">
        <v>1.40994444444444</v>
      </c>
      <c r="L18">
        <v>1195.78076525336</v>
      </c>
      <c r="M18">
        <v>102.840931478781</v>
      </c>
      <c r="N18">
        <v>7.2019254500000005E-2</v>
      </c>
      <c r="O18">
        <v>55.886941491999998</v>
      </c>
      <c r="P18">
        <v>1500.73203988467</v>
      </c>
      <c r="Q18">
        <v>8.8400000000000006E-2</v>
      </c>
      <c r="R18">
        <v>0.10730000000000001</v>
      </c>
      <c r="S18">
        <v>7.8299999999999995E-2</v>
      </c>
      <c r="T18">
        <v>2.1025898999999999</v>
      </c>
      <c r="U18">
        <v>105.70701964839699</v>
      </c>
      <c r="V18">
        <v>11.034831947673201</v>
      </c>
      <c r="W18">
        <v>117.50731872297</v>
      </c>
      <c r="X18">
        <v>234.24917031903999</v>
      </c>
      <c r="Y18">
        <v>267.464017856954</v>
      </c>
      <c r="Z18">
        <v>439</v>
      </c>
      <c r="AA18">
        <v>0.64134227668256505</v>
      </c>
      <c r="AB18">
        <v>0.73423394853275403</v>
      </c>
      <c r="AC18" t="s">
        <v>55</v>
      </c>
      <c r="AD18">
        <v>0.64134227668256505</v>
      </c>
      <c r="AE18">
        <v>150.23389620341499</v>
      </c>
      <c r="AF18">
        <v>384.483066522456</v>
      </c>
      <c r="AG18">
        <v>300</v>
      </c>
      <c r="AH18">
        <v>450</v>
      </c>
      <c r="AI18">
        <v>600</v>
      </c>
      <c r="AJ18">
        <v>330</v>
      </c>
      <c r="AK18">
        <v>495</v>
      </c>
      <c r="AL18">
        <v>660</v>
      </c>
      <c r="AM18">
        <f>Table1[[#This Row],[gross_cost]]-Table1[[#This Row],[CCR_single_base]]</f>
        <v>84.483066522455999</v>
      </c>
      <c r="AN18">
        <f>Table1[[#This Row],[gross_cost]]-Table1[[#This Row],[CCR_couple_base]]</f>
        <v>-65.516933477544001</v>
      </c>
      <c r="AO18">
        <f>Table1[[#This Row],[gross_cost]]-Table1[[#This Row],[CCR_family4_rural]]</f>
        <v>-275.516933477544</v>
      </c>
      <c r="AP18">
        <v>54.483066522456099</v>
      </c>
      <c r="AQ18">
        <v>-110.51693347754301</v>
      </c>
      <c r="AR18">
        <v>-275.51693347754298</v>
      </c>
      <c r="AS18">
        <f>Table1[[#This Row],[direct_tax]]/Table1[[#This Row],[total_exp]]</f>
        <v>2.8819316739135356E-3</v>
      </c>
      <c r="AT18">
        <f>Table1[[#This Row],[gross_cost]]/Table1[[#This Row],[total_exp]]</f>
        <v>4.7302362949048502E-3</v>
      </c>
      <c r="AU18">
        <v>1.0393822312745201E-3</v>
      </c>
      <c r="AV18">
        <v>-8.0604480054063401E-4</v>
      </c>
      <c r="AW18">
        <v>-2.6514718323557901E-3</v>
      </c>
      <c r="AX18">
        <v>6.7029682491149395E-4</v>
      </c>
      <c r="AY18">
        <v>-1.3596729100851801E-3</v>
      </c>
      <c r="AZ18">
        <v>-3.3896426450818599E-3</v>
      </c>
    </row>
    <row r="19" spans="1:52" x14ac:dyDescent="0.2">
      <c r="A19" t="s">
        <v>52</v>
      </c>
      <c r="B19">
        <v>2022</v>
      </c>
      <c r="C19">
        <v>50</v>
      </c>
      <c r="D19" t="s">
        <v>58</v>
      </c>
      <c r="E19">
        <v>1076845</v>
      </c>
      <c r="F19">
        <v>1862</v>
      </c>
      <c r="G19">
        <v>829.5</v>
      </c>
      <c r="H19">
        <v>145.5</v>
      </c>
      <c r="I19">
        <v>88132</v>
      </c>
      <c r="J19">
        <v>1.6998888888888799</v>
      </c>
      <c r="K19">
        <v>2.18194444444444</v>
      </c>
      <c r="L19">
        <v>1095.36571017713</v>
      </c>
      <c r="M19">
        <v>66.683640992998093</v>
      </c>
      <c r="N19">
        <v>7.2019254500000005E-2</v>
      </c>
      <c r="O19">
        <v>59.73997160775</v>
      </c>
      <c r="P19">
        <v>1604.1974575829099</v>
      </c>
      <c r="Q19">
        <v>0.1105</v>
      </c>
      <c r="R19">
        <v>0.1341</v>
      </c>
      <c r="S19">
        <v>9.7900000000000001E-2</v>
      </c>
      <c r="T19">
        <v>2.6289087000000002</v>
      </c>
      <c r="U19">
        <v>121.03791097457299</v>
      </c>
      <c r="V19">
        <v>8.9422762571610406</v>
      </c>
      <c r="W19">
        <v>157.050931097366</v>
      </c>
      <c r="X19">
        <v>287.03111832910099</v>
      </c>
      <c r="Y19">
        <v>318.35801500573501</v>
      </c>
      <c r="Z19">
        <v>578</v>
      </c>
      <c r="AA19">
        <v>0.81556603809577799</v>
      </c>
      <c r="AB19">
        <v>0.69171047562886001</v>
      </c>
      <c r="AC19" t="s">
        <v>55</v>
      </c>
      <c r="AD19">
        <v>0.81556603809577799</v>
      </c>
      <c r="AE19">
        <v>234.09283198586499</v>
      </c>
      <c r="AF19">
        <v>521.12395031496703</v>
      </c>
      <c r="AG19">
        <v>373</v>
      </c>
      <c r="AH19">
        <v>559</v>
      </c>
      <c r="AI19">
        <v>745</v>
      </c>
      <c r="AJ19">
        <v>410.3</v>
      </c>
      <c r="AK19">
        <v>614.9</v>
      </c>
      <c r="AL19">
        <v>819.5</v>
      </c>
      <c r="AM19">
        <f>Table1[[#This Row],[gross_cost]]-Table1[[#This Row],[CCR_single_base]]</f>
        <v>148.12395031496703</v>
      </c>
      <c r="AN19">
        <f>Table1[[#This Row],[gross_cost]]-Table1[[#This Row],[CCR_couple_base]]</f>
        <v>-37.876049685032967</v>
      </c>
      <c r="AO19">
        <f>Table1[[#This Row],[gross_cost]]-Table1[[#This Row],[CCR_family4_rural]]</f>
        <v>-298.37604968503297</v>
      </c>
      <c r="AP19">
        <v>110.82395031496699</v>
      </c>
      <c r="AQ19">
        <v>-93.776049685032703</v>
      </c>
      <c r="AR19">
        <v>-298.376049685032</v>
      </c>
      <c r="AS19">
        <f>Table1[[#This Row],[direct_tax]]/Table1[[#This Row],[total_exp]]</f>
        <v>3.2568320057311871E-3</v>
      </c>
      <c r="AT19">
        <f>Table1[[#This Row],[gross_cost]]/Table1[[#This Row],[total_exp]]</f>
        <v>5.9129935813889058E-3</v>
      </c>
      <c r="AU19">
        <v>1.6807056496501501E-3</v>
      </c>
      <c r="AV19">
        <v>-4.2976500799973399E-4</v>
      </c>
      <c r="AW19">
        <v>-2.5402356656496201E-3</v>
      </c>
      <c r="AX19">
        <v>1.2574768564762701E-3</v>
      </c>
      <c r="AY19">
        <v>-1.0640408669385999E-3</v>
      </c>
      <c r="AZ19">
        <v>-3.38555859035347E-3</v>
      </c>
    </row>
    <row r="20" spans="1:52" x14ac:dyDescent="0.2">
      <c r="A20" t="s">
        <v>52</v>
      </c>
      <c r="B20">
        <v>2023</v>
      </c>
      <c r="C20">
        <v>65</v>
      </c>
      <c r="D20" t="s">
        <v>58</v>
      </c>
      <c r="E20">
        <v>1133997</v>
      </c>
      <c r="F20">
        <v>2118</v>
      </c>
      <c r="G20">
        <v>883</v>
      </c>
      <c r="H20">
        <v>146</v>
      </c>
      <c r="I20">
        <v>94982</v>
      </c>
      <c r="J20">
        <v>1.55883333333333</v>
      </c>
      <c r="K20">
        <v>1.9092499999999999</v>
      </c>
      <c r="L20">
        <v>1358.708435796</v>
      </c>
      <c r="M20">
        <v>76.4698179913578</v>
      </c>
      <c r="N20">
        <v>7.2019254500000005E-2</v>
      </c>
      <c r="O20">
        <v>63.593001723500002</v>
      </c>
      <c r="P20">
        <v>1707.66287528114</v>
      </c>
      <c r="Q20">
        <v>0.1431</v>
      </c>
      <c r="R20">
        <v>0.17380000000000001</v>
      </c>
      <c r="S20">
        <v>0.1239</v>
      </c>
      <c r="T20">
        <v>3.3270867000000002</v>
      </c>
      <c r="U20">
        <v>194.43117716240701</v>
      </c>
      <c r="V20">
        <v>13.290454366897899</v>
      </c>
      <c r="W20">
        <v>211.57943024733299</v>
      </c>
      <c r="X20">
        <v>419.30106177663902</v>
      </c>
      <c r="Y20">
        <v>456.55608219540198</v>
      </c>
      <c r="AB20">
        <v>0.62792526627302103</v>
      </c>
      <c r="AC20" t="s">
        <v>54</v>
      </c>
      <c r="AD20">
        <v>0.62792526627302103</v>
      </c>
      <c r="AE20">
        <v>263.28973086465697</v>
      </c>
      <c r="AF20">
        <v>682.59079264129605</v>
      </c>
      <c r="AG20">
        <v>488</v>
      </c>
      <c r="AH20">
        <v>732</v>
      </c>
      <c r="AI20">
        <v>976</v>
      </c>
      <c r="AJ20">
        <v>536.79999999999995</v>
      </c>
      <c r="AK20">
        <v>805.2</v>
      </c>
      <c r="AL20">
        <v>1073.5999999999999</v>
      </c>
      <c r="AM20">
        <f>Table1[[#This Row],[gross_cost]]-Table1[[#This Row],[CCR_single_base]]</f>
        <v>194.59079264129605</v>
      </c>
      <c r="AN20">
        <f>Table1[[#This Row],[gross_cost]]-Table1[[#This Row],[CCR_couple_base]]</f>
        <v>-49.409207358703952</v>
      </c>
      <c r="AO20">
        <f>Table1[[#This Row],[gross_cost]]-Table1[[#This Row],[CCR_family4_rural]]</f>
        <v>-391.00920735870386</v>
      </c>
      <c r="AP20">
        <v>145.79079264129601</v>
      </c>
      <c r="AQ20">
        <v>-122.609207358703</v>
      </c>
      <c r="AR20">
        <v>-391.00920735870301</v>
      </c>
      <c r="AS20">
        <f>Table1[[#This Row],[direct_tax]]/Table1[[#This Row],[total_exp]]</f>
        <v>4.4145318247314127E-3</v>
      </c>
      <c r="AT20">
        <f>Table1[[#This Row],[gross_cost]]/Table1[[#This Row],[total_exp]]</f>
        <v>7.1865278962466158E-3</v>
      </c>
      <c r="AU20">
        <v>2.0487123101355698E-3</v>
      </c>
      <c r="AV20">
        <v>-5.2019548291995401E-4</v>
      </c>
      <c r="AW20">
        <v>-3.08910327597548E-3</v>
      </c>
      <c r="AX20">
        <v>1.53493075152446E-3</v>
      </c>
      <c r="AY20">
        <v>-1.2908678208366101E-3</v>
      </c>
      <c r="AZ20">
        <v>-4.1166663931976903E-3</v>
      </c>
    </row>
    <row r="21" spans="1:52" x14ac:dyDescent="0.2">
      <c r="A21" t="s">
        <v>52</v>
      </c>
      <c r="B21">
        <v>2024</v>
      </c>
      <c r="C21">
        <v>80</v>
      </c>
      <c r="D21" t="s">
        <v>58</v>
      </c>
      <c r="E21">
        <v>1204098</v>
      </c>
      <c r="F21">
        <v>2118</v>
      </c>
      <c r="G21">
        <v>883</v>
      </c>
      <c r="H21">
        <v>146</v>
      </c>
      <c r="I21">
        <v>94982</v>
      </c>
      <c r="J21">
        <v>1.56883333333333</v>
      </c>
      <c r="K21">
        <v>1.6484722222222199</v>
      </c>
      <c r="L21">
        <v>1350.0478062254299</v>
      </c>
      <c r="M21">
        <v>88.566854831914995</v>
      </c>
      <c r="N21">
        <v>7.2019254500000005E-2</v>
      </c>
      <c r="O21">
        <v>63.593001723500002</v>
      </c>
      <c r="P21">
        <v>1707.66287528114</v>
      </c>
      <c r="Q21">
        <v>0.17610000000000001</v>
      </c>
      <c r="R21">
        <v>0.21390000000000001</v>
      </c>
      <c r="S21">
        <v>0.1525</v>
      </c>
      <c r="T21">
        <v>4.0950825000000002</v>
      </c>
      <c r="U21">
        <v>237.74341867629801</v>
      </c>
      <c r="V21">
        <v>18.944450248546602</v>
      </c>
      <c r="W21">
        <v>260.41858848037401</v>
      </c>
      <c r="X21">
        <v>517.10645740522</v>
      </c>
      <c r="Y21">
        <v>566.79722728595004</v>
      </c>
      <c r="Z21">
        <v>869</v>
      </c>
      <c r="AA21">
        <v>0.53317616630045195</v>
      </c>
      <c r="AB21">
        <v>0.56414005691718105</v>
      </c>
      <c r="AC21" t="s">
        <v>55</v>
      </c>
      <c r="AD21">
        <v>0.53317616630045195</v>
      </c>
      <c r="AE21">
        <v>275.70883852852302</v>
      </c>
      <c r="AF21">
        <v>792.81529593374296</v>
      </c>
      <c r="AG21">
        <v>560</v>
      </c>
      <c r="AH21">
        <v>840</v>
      </c>
      <c r="AI21">
        <v>1120</v>
      </c>
      <c r="AJ21">
        <v>672</v>
      </c>
      <c r="AK21">
        <v>1008</v>
      </c>
      <c r="AL21">
        <v>1344</v>
      </c>
      <c r="AM21">
        <f>Table1[[#This Row],[gross_cost]]-Table1[[#This Row],[CCR_single_base]]</f>
        <v>232.81529593374296</v>
      </c>
      <c r="AN21">
        <f>Table1[[#This Row],[gross_cost]]-Table1[[#This Row],[CCR_couple_base]]</f>
        <v>-47.184704066257041</v>
      </c>
      <c r="AO21">
        <f>Table1[[#This Row],[gross_cost]]-Table1[[#This Row],[CCR_family4_rural]]</f>
        <v>-551.18470406625704</v>
      </c>
      <c r="AP21">
        <v>120.815295933743</v>
      </c>
      <c r="AQ21">
        <v>-215.18470406625599</v>
      </c>
      <c r="AR21">
        <v>-551.18470406625602</v>
      </c>
      <c r="AS21">
        <f>Table1[[#This Row],[direct_tax]]/Table1[[#This Row],[total_exp]]</f>
        <v>5.4442574109328087E-3</v>
      </c>
      <c r="AT21">
        <f>Table1[[#This Row],[gross_cost]]/Table1[[#This Row],[total_exp]]</f>
        <v>8.3470057056467852E-3</v>
      </c>
      <c r="AU21">
        <v>2.4511517543718102E-3</v>
      </c>
      <c r="AV21">
        <v>-4.9677522126567795E-4</v>
      </c>
      <c r="AW21">
        <v>-3.44470219690316E-3</v>
      </c>
      <c r="AX21">
        <v>1.2719809641168101E-3</v>
      </c>
      <c r="AY21">
        <v>-2.2655314066481699E-3</v>
      </c>
      <c r="AZ21">
        <v>-5.8030437774131503E-3</v>
      </c>
    </row>
    <row r="22" spans="1:52" x14ac:dyDescent="0.2">
      <c r="A22" t="s">
        <v>52</v>
      </c>
      <c r="B22">
        <v>2025</v>
      </c>
      <c r="C22">
        <v>0</v>
      </c>
      <c r="D22" t="s">
        <v>58</v>
      </c>
      <c r="E22">
        <v>1204098</v>
      </c>
      <c r="F22">
        <v>2118</v>
      </c>
      <c r="G22">
        <v>883</v>
      </c>
      <c r="H22">
        <v>146</v>
      </c>
      <c r="I22">
        <v>94982</v>
      </c>
      <c r="J22">
        <v>1.39052777777777</v>
      </c>
      <c r="K22">
        <v>1.57161111111111</v>
      </c>
      <c r="L22">
        <v>1523.1626680516899</v>
      </c>
      <c r="M22">
        <v>92.898299692459901</v>
      </c>
      <c r="N22">
        <v>7.2019254500000005E-2</v>
      </c>
      <c r="O22">
        <v>63.593001723500002</v>
      </c>
      <c r="P22">
        <v>1707.66287528114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B22">
        <v>0</v>
      </c>
      <c r="AC22" t="s">
        <v>56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f>Table1[[#This Row],[gross_cost]]-Table1[[#This Row],[CCR_single_base]]</f>
        <v>0</v>
      </c>
      <c r="AN22">
        <f>Table1[[#This Row],[gross_cost]]-Table1[[#This Row],[CCR_couple_base]]</f>
        <v>0</v>
      </c>
      <c r="AO22">
        <f>Table1[[#This Row],[gross_cost]]-Table1[[#This Row],[CCR_family4_rural]]</f>
        <v>0</v>
      </c>
      <c r="AP22">
        <v>0</v>
      </c>
      <c r="AQ22">
        <v>0</v>
      </c>
      <c r="AR22">
        <v>0</v>
      </c>
      <c r="AS22">
        <f>Table1[[#This Row],[direct_tax]]/Table1[[#This Row],[total_exp]]</f>
        <v>0</v>
      </c>
      <c r="AT22">
        <f>Table1[[#This Row],[gross_cost]]/Table1[[#This Row],[total_exp]]</f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52</v>
      </c>
      <c r="B23">
        <v>2019</v>
      </c>
      <c r="C23">
        <v>20</v>
      </c>
      <c r="D23" t="s">
        <v>59</v>
      </c>
      <c r="E23">
        <v>1196578</v>
      </c>
      <c r="F23">
        <v>3003</v>
      </c>
      <c r="G23">
        <v>989</v>
      </c>
      <c r="H23">
        <v>88</v>
      </c>
      <c r="I23">
        <v>115686</v>
      </c>
      <c r="J23">
        <v>1.2092499999999999</v>
      </c>
      <c r="K23">
        <v>1.3276666666666599</v>
      </c>
      <c r="L23">
        <v>2483.3574529667098</v>
      </c>
      <c r="M23">
        <v>66.281697213155894</v>
      </c>
      <c r="N23">
        <v>7.2019254500000005E-2</v>
      </c>
      <c r="O23">
        <v>71.227042700499993</v>
      </c>
      <c r="P23">
        <v>1912.6597776365199</v>
      </c>
      <c r="Q23">
        <v>4.4200000000000003E-2</v>
      </c>
      <c r="R23">
        <v>5.3699999999999998E-2</v>
      </c>
      <c r="S23">
        <v>3.9100000000000003E-2</v>
      </c>
      <c r="T23">
        <v>1.0499522999999999</v>
      </c>
      <c r="U23">
        <v>109.764399421128</v>
      </c>
      <c r="V23">
        <v>3.5593271403464701</v>
      </c>
      <c r="W23">
        <v>74.784997305588206</v>
      </c>
      <c r="X23">
        <v>188.10872386706299</v>
      </c>
      <c r="Y23">
        <v>157.498870259824</v>
      </c>
      <c r="AB23">
        <v>0.81928089434053997</v>
      </c>
      <c r="AC23" t="s">
        <v>54</v>
      </c>
      <c r="AD23">
        <v>0.81928089434053997</v>
      </c>
      <c r="AE23">
        <v>154.113883523065</v>
      </c>
      <c r="AF23">
        <v>342.22260739012899</v>
      </c>
      <c r="AG23">
        <v>154</v>
      </c>
      <c r="AH23">
        <v>231</v>
      </c>
      <c r="AI23">
        <v>307</v>
      </c>
      <c r="AJ23">
        <v>169.4</v>
      </c>
      <c r="AK23">
        <v>254.1</v>
      </c>
      <c r="AL23">
        <v>337.7</v>
      </c>
      <c r="AM23">
        <f>Table1[[#This Row],[gross_cost]]-Table1[[#This Row],[CCR_single_base]]</f>
        <v>188.22260739012899</v>
      </c>
      <c r="AN23">
        <f>Table1[[#This Row],[gross_cost]]-Table1[[#This Row],[CCR_couple_base]]</f>
        <v>111.22260739012899</v>
      </c>
      <c r="AO23">
        <f>Table1[[#This Row],[gross_cost]]-Table1[[#This Row],[CCR_family4_rural]]</f>
        <v>4.5226073901289965</v>
      </c>
      <c r="AP23">
        <v>172.82260739012801</v>
      </c>
      <c r="AQ23">
        <v>88.122607390128906</v>
      </c>
      <c r="AR23">
        <v>4.5226073901289396</v>
      </c>
      <c r="AS23">
        <f>Table1[[#This Row],[direct_tax]]/Table1[[#This Row],[total_exp]]</f>
        <v>1.6260284206132374E-3</v>
      </c>
      <c r="AT23">
        <f>Table1[[#This Row],[gross_cost]]/Table1[[#This Row],[total_exp]]</f>
        <v>2.9582024392763944E-3</v>
      </c>
      <c r="AU23">
        <v>1.62701283984344E-3</v>
      </c>
      <c r="AV23">
        <v>9.6141804012697197E-4</v>
      </c>
      <c r="AW23">
        <v>3.04467328718505E-4</v>
      </c>
      <c r="AX23">
        <v>1.49389387990015E-3</v>
      </c>
      <c r="AY23">
        <v>7.6173960021203003E-4</v>
      </c>
      <c r="AZ23" s="1">
        <v>3.90938176627157E-5</v>
      </c>
    </row>
    <row r="24" spans="1:52" x14ac:dyDescent="0.2">
      <c r="A24" t="s">
        <v>52</v>
      </c>
      <c r="B24">
        <v>2020</v>
      </c>
      <c r="C24">
        <v>30</v>
      </c>
      <c r="D24" t="s">
        <v>59</v>
      </c>
      <c r="E24">
        <v>1230810</v>
      </c>
      <c r="F24">
        <v>2990</v>
      </c>
      <c r="G24">
        <v>1003</v>
      </c>
      <c r="H24">
        <v>132.5</v>
      </c>
      <c r="I24">
        <v>116238</v>
      </c>
      <c r="J24">
        <v>1.0371666666666599</v>
      </c>
      <c r="K24">
        <v>1.17475</v>
      </c>
      <c r="L24">
        <v>2882.8539289731598</v>
      </c>
      <c r="M24">
        <v>112.78995530964001</v>
      </c>
      <c r="N24">
        <v>7.2019254500000005E-2</v>
      </c>
      <c r="O24">
        <v>72.235312263500006</v>
      </c>
      <c r="P24">
        <v>1939.73484021176</v>
      </c>
      <c r="Q24">
        <v>6.6299999999999998E-2</v>
      </c>
      <c r="R24">
        <v>8.0500000000000002E-2</v>
      </c>
      <c r="S24">
        <v>5.8700000000000002E-2</v>
      </c>
      <c r="T24">
        <v>1.5762711</v>
      </c>
      <c r="U24">
        <v>191.13321549092001</v>
      </c>
      <c r="V24">
        <v>9.0795914024260398</v>
      </c>
      <c r="W24">
        <v>113.86243512043001</v>
      </c>
      <c r="X24">
        <v>314.07524201377697</v>
      </c>
      <c r="Y24">
        <v>246.339619032857</v>
      </c>
      <c r="AB24">
        <v>0.77675742143664706</v>
      </c>
      <c r="AC24" t="s">
        <v>54</v>
      </c>
      <c r="AD24">
        <v>0.77675742143664706</v>
      </c>
      <c r="AE24">
        <v>243.96027512371199</v>
      </c>
      <c r="AF24">
        <v>558.03551713749005</v>
      </c>
      <c r="AG24">
        <v>224</v>
      </c>
      <c r="AH24">
        <v>336</v>
      </c>
      <c r="AI24">
        <v>448</v>
      </c>
      <c r="AJ24">
        <v>246.4</v>
      </c>
      <c r="AK24">
        <v>369.6</v>
      </c>
      <c r="AL24">
        <v>492.8</v>
      </c>
      <c r="AM24">
        <f>Table1[[#This Row],[gross_cost]]-Table1[[#This Row],[CCR_single_base]]</f>
        <v>334.03551713749005</v>
      </c>
      <c r="AN24">
        <f>Table1[[#This Row],[gross_cost]]-Table1[[#This Row],[CCR_couple_base]]</f>
        <v>222.03551713749005</v>
      </c>
      <c r="AO24">
        <f>Table1[[#This Row],[gross_cost]]-Table1[[#This Row],[CCR_family4_rural]]</f>
        <v>65.235517137490035</v>
      </c>
      <c r="AP24">
        <v>311.63551713749001</v>
      </c>
      <c r="AQ24">
        <v>188.43551713749</v>
      </c>
      <c r="AR24">
        <v>65.235517137490007</v>
      </c>
      <c r="AS24">
        <f>Table1[[#This Row],[direct_tax]]/Table1[[#This Row],[total_exp]]</f>
        <v>2.7020014282229301E-3</v>
      </c>
      <c r="AT24">
        <f>Table1[[#This Row],[gross_cost]]/Table1[[#This Row],[total_exp]]</f>
        <v>4.8008010903275184E-3</v>
      </c>
      <c r="AU24">
        <v>2.8737204454437398E-3</v>
      </c>
      <c r="AV24">
        <v>1.9101801230018501E-3</v>
      </c>
      <c r="AW24">
        <v>9.4663980055997301E-4</v>
      </c>
      <c r="AX24">
        <v>2.6810123809553601E-3</v>
      </c>
      <c r="AY24">
        <v>1.6211180262692901E-3</v>
      </c>
      <c r="AZ24">
        <v>5.6122367158321798E-4</v>
      </c>
    </row>
    <row r="25" spans="1:52" x14ac:dyDescent="0.2">
      <c r="A25" t="s">
        <v>52</v>
      </c>
      <c r="B25">
        <v>2021</v>
      </c>
      <c r="C25">
        <v>40</v>
      </c>
      <c r="D25" t="s">
        <v>59</v>
      </c>
      <c r="E25">
        <v>1203756</v>
      </c>
      <c r="F25">
        <v>2977</v>
      </c>
      <c r="G25">
        <v>1017</v>
      </c>
      <c r="H25">
        <v>177</v>
      </c>
      <c r="I25">
        <v>116790</v>
      </c>
      <c r="J25">
        <v>1.3430555555555499</v>
      </c>
      <c r="K25">
        <v>1.40994444444444</v>
      </c>
      <c r="L25">
        <v>2216.5873836607998</v>
      </c>
      <c r="M25">
        <v>125.536861184443</v>
      </c>
      <c r="N25">
        <v>7.2019254500000005E-2</v>
      </c>
      <c r="O25">
        <v>73.243581826500005</v>
      </c>
      <c r="P25">
        <v>1966.8099027870001</v>
      </c>
      <c r="Q25">
        <v>8.8400000000000006E-2</v>
      </c>
      <c r="R25">
        <v>0.10730000000000001</v>
      </c>
      <c r="S25">
        <v>7.8299999999999995E-2</v>
      </c>
      <c r="T25">
        <v>2.1025898999999999</v>
      </c>
      <c r="U25">
        <v>195.94632471561499</v>
      </c>
      <c r="V25">
        <v>13.4701052050908</v>
      </c>
      <c r="W25">
        <v>154.00121538822199</v>
      </c>
      <c r="X25">
        <v>363.417645308928</v>
      </c>
      <c r="Y25">
        <v>267.464017856954</v>
      </c>
      <c r="Z25">
        <v>439</v>
      </c>
      <c r="AA25">
        <v>0.64134227668256505</v>
      </c>
      <c r="AB25">
        <v>0.73423394853275403</v>
      </c>
      <c r="AC25" t="s">
        <v>55</v>
      </c>
      <c r="AD25">
        <v>0.64134227668256505</v>
      </c>
      <c r="AE25">
        <v>233.07510002904499</v>
      </c>
      <c r="AF25">
        <v>596.49274533797404</v>
      </c>
      <c r="AG25">
        <v>300</v>
      </c>
      <c r="AH25">
        <v>450</v>
      </c>
      <c r="AI25">
        <v>600</v>
      </c>
      <c r="AJ25">
        <v>330</v>
      </c>
      <c r="AK25">
        <v>495</v>
      </c>
      <c r="AL25">
        <v>660</v>
      </c>
      <c r="AM25">
        <f>Table1[[#This Row],[gross_cost]]-Table1[[#This Row],[CCR_single_base]]</f>
        <v>296.49274533797404</v>
      </c>
      <c r="AN25">
        <f>Table1[[#This Row],[gross_cost]]-Table1[[#This Row],[CCR_couple_base]]</f>
        <v>146.49274533797404</v>
      </c>
      <c r="AO25">
        <f>Table1[[#This Row],[gross_cost]]-Table1[[#This Row],[CCR_family4_rural]]</f>
        <v>-63.507254662025957</v>
      </c>
      <c r="AP25">
        <v>266.49274533797399</v>
      </c>
      <c r="AQ25">
        <v>101.49274533797301</v>
      </c>
      <c r="AR25">
        <v>-63.5072546620259</v>
      </c>
      <c r="AS25">
        <f>Table1[[#This Row],[direct_tax]]/Table1[[#This Row],[total_exp]]</f>
        <v>3.1117188569991265E-3</v>
      </c>
      <c r="AT25">
        <f>Table1[[#This Row],[gross_cost]]/Table1[[#This Row],[total_exp]]</f>
        <v>5.1073957131430262E-3</v>
      </c>
      <c r="AU25">
        <v>2.53868263839347E-3</v>
      </c>
      <c r="AV25">
        <v>1.2543261010187E-3</v>
      </c>
      <c r="AW25" s="1">
        <v>-3.0030436356074601E-5</v>
      </c>
      <c r="AX25">
        <v>2.2818113309185199E-3</v>
      </c>
      <c r="AY25">
        <v>8.69019139806267E-4</v>
      </c>
      <c r="AZ25">
        <v>-5.4377305130598398E-4</v>
      </c>
    </row>
    <row r="26" spans="1:52" x14ac:dyDescent="0.2">
      <c r="A26" t="s">
        <v>52</v>
      </c>
      <c r="B26">
        <v>2022</v>
      </c>
      <c r="C26">
        <v>50</v>
      </c>
      <c r="D26" t="s">
        <v>59</v>
      </c>
      <c r="E26">
        <v>1231275</v>
      </c>
      <c r="F26">
        <v>2788</v>
      </c>
      <c r="G26">
        <v>1138.5</v>
      </c>
      <c r="H26">
        <v>199</v>
      </c>
      <c r="I26">
        <v>123029</v>
      </c>
      <c r="J26">
        <v>1.6998888888888799</v>
      </c>
      <c r="K26">
        <v>2.18194444444444</v>
      </c>
      <c r="L26">
        <v>1640.1071965487899</v>
      </c>
      <c r="M26">
        <v>91.203055378739606</v>
      </c>
      <c r="N26">
        <v>7.2019254500000005E-2</v>
      </c>
      <c r="O26">
        <v>81.993921248250004</v>
      </c>
      <c r="P26">
        <v>2201.78276727925</v>
      </c>
      <c r="Q26">
        <v>0.1105</v>
      </c>
      <c r="R26">
        <v>0.1341</v>
      </c>
      <c r="S26">
        <v>9.7900000000000001E-2</v>
      </c>
      <c r="T26">
        <v>2.6289087000000002</v>
      </c>
      <c r="U26">
        <v>181.23184521864101</v>
      </c>
      <c r="V26">
        <v>12.2303297262889</v>
      </c>
      <c r="W26">
        <v>215.554532916639</v>
      </c>
      <c r="X26">
        <v>409.01670786157001</v>
      </c>
      <c r="Y26">
        <v>318.35801500573501</v>
      </c>
      <c r="Z26">
        <v>578</v>
      </c>
      <c r="AA26">
        <v>0.81556603809577799</v>
      </c>
      <c r="AB26">
        <v>0.69171047562886001</v>
      </c>
      <c r="AC26" t="s">
        <v>55</v>
      </c>
      <c r="AD26">
        <v>0.81556603809577799</v>
      </c>
      <c r="AE26">
        <v>333.58013594563897</v>
      </c>
      <c r="AF26">
        <v>742.59684380720898</v>
      </c>
      <c r="AG26">
        <v>373</v>
      </c>
      <c r="AH26">
        <v>559</v>
      </c>
      <c r="AI26">
        <v>745</v>
      </c>
      <c r="AJ26">
        <v>410.3</v>
      </c>
      <c r="AK26">
        <v>614.9</v>
      </c>
      <c r="AL26">
        <v>819.5</v>
      </c>
      <c r="AM26">
        <f>Table1[[#This Row],[gross_cost]]-Table1[[#This Row],[CCR_single_base]]</f>
        <v>369.59684380720898</v>
      </c>
      <c r="AN26">
        <f>Table1[[#This Row],[gross_cost]]-Table1[[#This Row],[CCR_couple_base]]</f>
        <v>183.59684380720898</v>
      </c>
      <c r="AO26">
        <f>Table1[[#This Row],[gross_cost]]-Table1[[#This Row],[CCR_family4_rural]]</f>
        <v>-76.903156192791016</v>
      </c>
      <c r="AP26">
        <v>332.29684380720897</v>
      </c>
      <c r="AQ26">
        <v>127.69684380720901</v>
      </c>
      <c r="AR26">
        <v>-76.903156192790902</v>
      </c>
      <c r="AS26">
        <f>Table1[[#This Row],[direct_tax]]/Table1[[#This Row],[total_exp]]</f>
        <v>3.3245552500757547E-3</v>
      </c>
      <c r="AT26">
        <f>Table1[[#This Row],[gross_cost]]/Table1[[#This Row],[total_exp]]</f>
        <v>6.0359496038105568E-3</v>
      </c>
      <c r="AU26">
        <v>3.0041440945403801E-3</v>
      </c>
      <c r="AV26">
        <v>1.4923054223573999E-3</v>
      </c>
      <c r="AW26" s="1">
        <v>-1.95332498255759E-5</v>
      </c>
      <c r="AX26">
        <v>2.7009635436133599E-3</v>
      </c>
      <c r="AY26">
        <v>1.03794100421208E-3</v>
      </c>
      <c r="AZ26">
        <v>-6.2508153518919004E-4</v>
      </c>
    </row>
    <row r="27" spans="1:52" x14ac:dyDescent="0.2">
      <c r="A27" t="s">
        <v>52</v>
      </c>
      <c r="B27">
        <v>2023</v>
      </c>
      <c r="C27">
        <v>65</v>
      </c>
      <c r="D27" t="s">
        <v>59</v>
      </c>
      <c r="E27">
        <v>1253681</v>
      </c>
      <c r="F27">
        <v>2599</v>
      </c>
      <c r="G27">
        <v>1260</v>
      </c>
      <c r="H27">
        <v>221</v>
      </c>
      <c r="I27">
        <v>129268</v>
      </c>
      <c r="J27">
        <v>1.55883333333333</v>
      </c>
      <c r="K27">
        <v>1.9092499999999999</v>
      </c>
      <c r="L27">
        <v>1667.2725328771501</v>
      </c>
      <c r="M27">
        <v>115.752258740343</v>
      </c>
      <c r="N27">
        <v>7.2019254500000005E-2</v>
      </c>
      <c r="O27">
        <v>90.744260670000003</v>
      </c>
      <c r="P27">
        <v>2436.7556317715098</v>
      </c>
      <c r="Q27">
        <v>0.1431</v>
      </c>
      <c r="R27">
        <v>0.17380000000000001</v>
      </c>
      <c r="S27">
        <v>0.1239</v>
      </c>
      <c r="T27">
        <v>3.3270867000000002</v>
      </c>
      <c r="U27">
        <v>238.58669945471999</v>
      </c>
      <c r="V27">
        <v>20.117742569071599</v>
      </c>
      <c r="W27">
        <v>301.91402277649001</v>
      </c>
      <c r="X27">
        <v>560.61846480028203</v>
      </c>
      <c r="Y27">
        <v>456.55608219540198</v>
      </c>
      <c r="AB27">
        <v>0.62792526627302103</v>
      </c>
      <c r="AC27" t="s">
        <v>54</v>
      </c>
      <c r="AD27">
        <v>0.62792526627302103</v>
      </c>
      <c r="AE27">
        <v>352.02649878728897</v>
      </c>
      <c r="AF27">
        <v>912.64496358757106</v>
      </c>
      <c r="AG27">
        <v>488</v>
      </c>
      <c r="AH27">
        <v>732</v>
      </c>
      <c r="AI27">
        <v>976</v>
      </c>
      <c r="AJ27">
        <v>536.79999999999995</v>
      </c>
      <c r="AK27">
        <v>805.2</v>
      </c>
      <c r="AL27">
        <v>1073.5999999999999</v>
      </c>
      <c r="AM27">
        <f>Table1[[#This Row],[gross_cost]]-Table1[[#This Row],[CCR_single_base]]</f>
        <v>424.64496358757106</v>
      </c>
      <c r="AN27">
        <f>Table1[[#This Row],[gross_cost]]-Table1[[#This Row],[CCR_couple_base]]</f>
        <v>180.64496358757106</v>
      </c>
      <c r="AO27">
        <f>Table1[[#This Row],[gross_cost]]-Table1[[#This Row],[CCR_family4_rural]]</f>
        <v>-160.95503641242885</v>
      </c>
      <c r="AP27">
        <v>375.84496358757099</v>
      </c>
      <c r="AQ27">
        <v>107.444963587571</v>
      </c>
      <c r="AR27">
        <v>-160.955036412428</v>
      </c>
      <c r="AS27">
        <f>Table1[[#This Row],[direct_tax]]/Table1[[#This Row],[total_exp]]</f>
        <v>4.3368696413674072E-3</v>
      </c>
      <c r="AT27">
        <f>Table1[[#This Row],[gross_cost]]/Table1[[#This Row],[total_exp]]</f>
        <v>7.0600996657144153E-3</v>
      </c>
      <c r="AU27">
        <v>3.2849967786890101E-3</v>
      </c>
      <c r="AV27">
        <v>1.3974453351763101E-3</v>
      </c>
      <c r="AW27">
        <v>-4.9010610833638698E-4</v>
      </c>
      <c r="AX27">
        <v>2.9074864899864702E-3</v>
      </c>
      <c r="AY27">
        <v>8.3117990212250303E-4</v>
      </c>
      <c r="AZ27">
        <v>-1.24512668574146E-3</v>
      </c>
    </row>
    <row r="28" spans="1:52" x14ac:dyDescent="0.2">
      <c r="A28" t="s">
        <v>52</v>
      </c>
      <c r="B28">
        <v>2024</v>
      </c>
      <c r="C28">
        <v>80</v>
      </c>
      <c r="D28" t="s">
        <v>59</v>
      </c>
      <c r="E28">
        <v>1294338</v>
      </c>
      <c r="F28">
        <v>2599</v>
      </c>
      <c r="G28">
        <v>1260</v>
      </c>
      <c r="H28">
        <v>221</v>
      </c>
      <c r="I28">
        <v>129268</v>
      </c>
      <c r="J28">
        <v>1.56883333333333</v>
      </c>
      <c r="K28">
        <v>1.6484722222222199</v>
      </c>
      <c r="L28">
        <v>1656.6450653351701</v>
      </c>
      <c r="M28">
        <v>134.063526834611</v>
      </c>
      <c r="N28">
        <v>7.2019254500000005E-2</v>
      </c>
      <c r="O28">
        <v>90.744260670000003</v>
      </c>
      <c r="P28">
        <v>2436.7556317715098</v>
      </c>
      <c r="Q28">
        <v>0.17610000000000001</v>
      </c>
      <c r="R28">
        <v>0.21390000000000001</v>
      </c>
      <c r="S28">
        <v>0.1525</v>
      </c>
      <c r="T28">
        <v>4.0950825000000002</v>
      </c>
      <c r="U28">
        <v>291.73519600552402</v>
      </c>
      <c r="V28">
        <v>28.676188389923301</v>
      </c>
      <c r="W28">
        <v>371.605233845155</v>
      </c>
      <c r="X28">
        <v>692.01661824060204</v>
      </c>
      <c r="Y28">
        <v>566.79722728595004</v>
      </c>
      <c r="Z28">
        <v>869</v>
      </c>
      <c r="AA28">
        <v>0.53317616630045195</v>
      </c>
      <c r="AB28">
        <v>0.56414005691718105</v>
      </c>
      <c r="AC28" t="s">
        <v>55</v>
      </c>
      <c r="AD28">
        <v>0.53317616630045195</v>
      </c>
      <c r="AE28">
        <v>368.96676752972797</v>
      </c>
      <c r="AF28">
        <v>1060.98338577033</v>
      </c>
      <c r="AG28">
        <v>560</v>
      </c>
      <c r="AH28">
        <v>840</v>
      </c>
      <c r="AI28">
        <v>1120</v>
      </c>
      <c r="AJ28">
        <v>672</v>
      </c>
      <c r="AK28">
        <v>1008</v>
      </c>
      <c r="AL28">
        <v>1344</v>
      </c>
      <c r="AM28">
        <f>Table1[[#This Row],[gross_cost]]-Table1[[#This Row],[CCR_single_base]]</f>
        <v>500.98338577032996</v>
      </c>
      <c r="AN28">
        <f>Table1[[#This Row],[gross_cost]]-Table1[[#This Row],[CCR_couple_base]]</f>
        <v>220.98338577032996</v>
      </c>
      <c r="AO28">
        <f>Table1[[#This Row],[gross_cost]]-Table1[[#This Row],[CCR_family4_rural]]</f>
        <v>-283.01661422967004</v>
      </c>
      <c r="AP28">
        <v>388.98338577033098</v>
      </c>
      <c r="AQ28">
        <v>52.983385770331097</v>
      </c>
      <c r="AR28">
        <v>-283.01661422966799</v>
      </c>
      <c r="AS28">
        <f>Table1[[#This Row],[direct_tax]]/Table1[[#This Row],[total_exp]]</f>
        <v>5.353348224159127E-3</v>
      </c>
      <c r="AT28">
        <f>Table1[[#This Row],[gross_cost]]/Table1[[#This Row],[total_exp]]</f>
        <v>8.207625907187625E-3</v>
      </c>
      <c r="AU28">
        <v>3.8755406269945399E-3</v>
      </c>
      <c r="AV28">
        <v>1.7094979868980001E-3</v>
      </c>
      <c r="AW28">
        <v>-4.5654465319853999E-4</v>
      </c>
      <c r="AX28">
        <v>3.00912357095592E-3</v>
      </c>
      <c r="AY28">
        <v>4.0987240284007698E-4</v>
      </c>
      <c r="AZ28">
        <v>-2.1893787652757699E-3</v>
      </c>
    </row>
    <row r="29" spans="1:52" x14ac:dyDescent="0.2">
      <c r="A29" t="s">
        <v>52</v>
      </c>
      <c r="B29">
        <v>2025</v>
      </c>
      <c r="C29">
        <v>0</v>
      </c>
      <c r="D29" t="s">
        <v>59</v>
      </c>
      <c r="E29">
        <v>1294338</v>
      </c>
      <c r="F29">
        <v>2599</v>
      </c>
      <c r="G29">
        <v>1260</v>
      </c>
      <c r="H29">
        <v>221</v>
      </c>
      <c r="I29">
        <v>129268</v>
      </c>
      <c r="J29">
        <v>1.39052777777777</v>
      </c>
      <c r="K29">
        <v>1.57161111111111</v>
      </c>
      <c r="L29">
        <v>1869.07449209932</v>
      </c>
      <c r="M29">
        <v>140.620028986531</v>
      </c>
      <c r="N29">
        <v>7.2019254500000005E-2</v>
      </c>
      <c r="O29">
        <v>90.744260670000003</v>
      </c>
      <c r="P29">
        <v>2436.7556317715098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AB29">
        <v>0</v>
      </c>
      <c r="AC29" t="s">
        <v>56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f>Table1[[#This Row],[gross_cost]]-Table1[[#This Row],[CCR_single_base]]</f>
        <v>0</v>
      </c>
      <c r="AN29">
        <f>Table1[[#This Row],[gross_cost]]-Table1[[#This Row],[CCR_couple_base]]</f>
        <v>0</v>
      </c>
      <c r="AO29">
        <f>Table1[[#This Row],[gross_cost]]-Table1[[#This Row],[CCR_family4_rural]]</f>
        <v>0</v>
      </c>
      <c r="AP29">
        <v>0</v>
      </c>
      <c r="AQ29">
        <v>0</v>
      </c>
      <c r="AR29">
        <v>0</v>
      </c>
      <c r="AS29">
        <f>Table1[[#This Row],[direct_tax]]/Table1[[#This Row],[total_exp]]</f>
        <v>0</v>
      </c>
      <c r="AT29">
        <f>Table1[[#This Row],[gross_cost]]/Table1[[#This Row],[total_exp]]</f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52</v>
      </c>
      <c r="B30">
        <v>2019</v>
      </c>
      <c r="C30">
        <v>20</v>
      </c>
      <c r="D30" t="s">
        <v>60</v>
      </c>
      <c r="E30">
        <v>1241804</v>
      </c>
      <c r="F30">
        <v>3609</v>
      </c>
      <c r="G30">
        <v>1151</v>
      </c>
      <c r="H30">
        <v>228</v>
      </c>
      <c r="I30">
        <v>189998</v>
      </c>
      <c r="J30">
        <v>1.2092499999999999</v>
      </c>
      <c r="K30">
        <v>1.3276666666666599</v>
      </c>
      <c r="L30">
        <v>2984.4945213975602</v>
      </c>
      <c r="M30">
        <v>171.72985187044901</v>
      </c>
      <c r="N30">
        <v>7.2019254500000005E-2</v>
      </c>
      <c r="O30">
        <v>82.894161929500001</v>
      </c>
      <c r="P30">
        <v>2225.9569302928599</v>
      </c>
      <c r="Q30">
        <v>4.4200000000000003E-2</v>
      </c>
      <c r="R30">
        <v>5.3699999999999998E-2</v>
      </c>
      <c r="S30">
        <v>3.9100000000000003E-2</v>
      </c>
      <c r="T30">
        <v>1.0499522999999999</v>
      </c>
      <c r="U30">
        <v>131.91465784577201</v>
      </c>
      <c r="V30">
        <v>9.2218930454431298</v>
      </c>
      <c r="W30">
        <v>87.034915974450897</v>
      </c>
      <c r="X30">
        <v>228.17146686566599</v>
      </c>
      <c r="Y30">
        <v>157.498870259824</v>
      </c>
      <c r="AB30">
        <v>0.81928089434053997</v>
      </c>
      <c r="AC30" t="s">
        <v>54</v>
      </c>
      <c r="AD30">
        <v>0.81928089434053997</v>
      </c>
      <c r="AE30">
        <v>186.93652343669601</v>
      </c>
      <c r="AF30">
        <v>415.107990302362</v>
      </c>
      <c r="AG30">
        <v>154</v>
      </c>
      <c r="AH30">
        <v>231</v>
      </c>
      <c r="AI30">
        <v>307</v>
      </c>
      <c r="AJ30">
        <v>169.4</v>
      </c>
      <c r="AK30">
        <v>254.1</v>
      </c>
      <c r="AL30">
        <v>337.7</v>
      </c>
      <c r="AM30">
        <f>Table1[[#This Row],[gross_cost]]-Table1[[#This Row],[CCR_single_base]]</f>
        <v>261.107990302362</v>
      </c>
      <c r="AN30">
        <f>Table1[[#This Row],[gross_cost]]-Table1[[#This Row],[CCR_couple_base]]</f>
        <v>184.107990302362</v>
      </c>
      <c r="AO30">
        <f>Table1[[#This Row],[gross_cost]]-Table1[[#This Row],[CCR_family4_rural]]</f>
        <v>77.407990302362009</v>
      </c>
      <c r="AP30">
        <v>245.70799030236199</v>
      </c>
      <c r="AQ30">
        <v>161.007990302362</v>
      </c>
      <c r="AR30">
        <v>77.407990302362194</v>
      </c>
      <c r="AS30">
        <f>Table1[[#This Row],[direct_tax]]/Table1[[#This Row],[total_exp]]</f>
        <v>1.2009150983992778E-3</v>
      </c>
      <c r="AT30">
        <f>Table1[[#This Row],[gross_cost]]/Table1[[#This Row],[total_exp]]</f>
        <v>2.1848018942428973E-3</v>
      </c>
      <c r="AU30">
        <v>1.3742670465076499E-3</v>
      </c>
      <c r="AV30">
        <v>9.6899962264003904E-4</v>
      </c>
      <c r="AW30">
        <v>5.6899541206940202E-4</v>
      </c>
      <c r="AX30">
        <v>1.29321356173413E-3</v>
      </c>
      <c r="AY30">
        <v>8.4741939547975298E-4</v>
      </c>
      <c r="AZ30">
        <v>4.0741476385205202E-4</v>
      </c>
    </row>
    <row r="31" spans="1:52" x14ac:dyDescent="0.2">
      <c r="A31" t="s">
        <v>52</v>
      </c>
      <c r="B31">
        <v>2020</v>
      </c>
      <c r="C31">
        <v>30</v>
      </c>
      <c r="D31" t="s">
        <v>60</v>
      </c>
      <c r="E31">
        <v>1240126</v>
      </c>
      <c r="F31">
        <v>3206.5</v>
      </c>
      <c r="G31">
        <v>1208</v>
      </c>
      <c r="H31">
        <v>231</v>
      </c>
      <c r="I31">
        <v>191006</v>
      </c>
      <c r="J31">
        <v>1.0371666666666599</v>
      </c>
      <c r="K31">
        <v>1.17475</v>
      </c>
      <c r="L31">
        <v>3091.5956933954599</v>
      </c>
      <c r="M31">
        <v>196.63758246435401</v>
      </c>
      <c r="N31">
        <v>7.2019254500000005E-2</v>
      </c>
      <c r="O31">
        <v>86.999259436000003</v>
      </c>
      <c r="P31">
        <v>2336.1911136348999</v>
      </c>
      <c r="Q31">
        <v>6.6299999999999998E-2</v>
      </c>
      <c r="R31">
        <v>8.0500000000000002E-2</v>
      </c>
      <c r="S31">
        <v>5.8700000000000002E-2</v>
      </c>
      <c r="T31">
        <v>1.5762711</v>
      </c>
      <c r="U31">
        <v>204.97279447211901</v>
      </c>
      <c r="V31">
        <v>15.8293253883805</v>
      </c>
      <c r="W31">
        <v>137.13441837036899</v>
      </c>
      <c r="X31">
        <v>357.93653823086902</v>
      </c>
      <c r="Y31">
        <v>246.339619032857</v>
      </c>
      <c r="AB31">
        <v>0.77675742143664706</v>
      </c>
      <c r="AC31" t="s">
        <v>54</v>
      </c>
      <c r="AD31">
        <v>0.77675742143664706</v>
      </c>
      <c r="AE31">
        <v>278.02986247416902</v>
      </c>
      <c r="AF31">
        <v>635.96640070503804</v>
      </c>
      <c r="AG31">
        <v>224</v>
      </c>
      <c r="AH31">
        <v>336</v>
      </c>
      <c r="AI31">
        <v>448</v>
      </c>
      <c r="AJ31">
        <v>246.4</v>
      </c>
      <c r="AK31">
        <v>369.6</v>
      </c>
      <c r="AL31">
        <v>492.8</v>
      </c>
      <c r="AM31">
        <f>Table1[[#This Row],[gross_cost]]-Table1[[#This Row],[CCR_single_base]]</f>
        <v>411.96640070503804</v>
      </c>
      <c r="AN31">
        <f>Table1[[#This Row],[gross_cost]]-Table1[[#This Row],[CCR_couple_base]]</f>
        <v>299.96640070503804</v>
      </c>
      <c r="AO31">
        <f>Table1[[#This Row],[gross_cost]]-Table1[[#This Row],[CCR_family4_rural]]</f>
        <v>143.16640070503803</v>
      </c>
      <c r="AP31">
        <v>389.56640070503801</v>
      </c>
      <c r="AQ31">
        <v>266.36640070503802</v>
      </c>
      <c r="AR31">
        <v>143.166400705038</v>
      </c>
      <c r="AS31">
        <f>Table1[[#This Row],[direct_tax]]/Table1[[#This Row],[total_exp]]</f>
        <v>1.8739544214886915E-3</v>
      </c>
      <c r="AT31">
        <f>Table1[[#This Row],[gross_cost]]/Table1[[#This Row],[total_exp]]</f>
        <v>3.329562425814048E-3</v>
      </c>
      <c r="AU31">
        <v>2.1568243966421899E-3</v>
      </c>
      <c r="AV31">
        <v>1.57045538205626E-3</v>
      </c>
      <c r="AW31">
        <v>9.840863674703351E-4</v>
      </c>
      <c r="AX31">
        <v>2.0395505937249999E-3</v>
      </c>
      <c r="AY31">
        <v>1.39454467768048E-3</v>
      </c>
      <c r="AZ31">
        <v>7.4953876163596296E-4</v>
      </c>
    </row>
    <row r="32" spans="1:52" x14ac:dyDescent="0.2">
      <c r="A32" t="s">
        <v>52</v>
      </c>
      <c r="B32">
        <v>2021</v>
      </c>
      <c r="C32">
        <v>40</v>
      </c>
      <c r="D32" t="s">
        <v>60</v>
      </c>
      <c r="E32">
        <v>1234204</v>
      </c>
      <c r="F32">
        <v>2804</v>
      </c>
      <c r="G32">
        <v>1265</v>
      </c>
      <c r="H32">
        <v>234</v>
      </c>
      <c r="I32">
        <v>192014</v>
      </c>
      <c r="J32">
        <v>1.3430555555555499</v>
      </c>
      <c r="K32">
        <v>1.40994444444444</v>
      </c>
      <c r="L32">
        <v>2087.7766287487002</v>
      </c>
      <c r="M32">
        <v>165.963985972654</v>
      </c>
      <c r="N32">
        <v>7.2019254500000005E-2</v>
      </c>
      <c r="O32">
        <v>91.104356942500004</v>
      </c>
      <c r="P32">
        <v>2446.42529697695</v>
      </c>
      <c r="Q32">
        <v>8.8400000000000006E-2</v>
      </c>
      <c r="R32">
        <v>0.10730000000000001</v>
      </c>
      <c r="S32">
        <v>7.8299999999999995E-2</v>
      </c>
      <c r="T32">
        <v>2.1025898999999999</v>
      </c>
      <c r="U32">
        <v>184.55945398138499</v>
      </c>
      <c r="V32">
        <v>17.807935694865801</v>
      </c>
      <c r="W32">
        <v>191.55510075329499</v>
      </c>
      <c r="X32">
        <v>393.922490429547</v>
      </c>
      <c r="Y32">
        <v>267.464017856954</v>
      </c>
      <c r="Z32">
        <v>439</v>
      </c>
      <c r="AA32">
        <v>0.64134227668256505</v>
      </c>
      <c r="AB32">
        <v>0.73423394853275403</v>
      </c>
      <c r="AC32" t="s">
        <v>55</v>
      </c>
      <c r="AD32">
        <v>0.64134227668256505</v>
      </c>
      <c r="AE32">
        <v>252.63914684855101</v>
      </c>
      <c r="AF32">
        <v>646.56163727809803</v>
      </c>
      <c r="AG32">
        <v>300</v>
      </c>
      <c r="AH32">
        <v>450</v>
      </c>
      <c r="AI32">
        <v>600</v>
      </c>
      <c r="AJ32">
        <v>330</v>
      </c>
      <c r="AK32">
        <v>495</v>
      </c>
      <c r="AL32">
        <v>660</v>
      </c>
      <c r="AM32">
        <f>Table1[[#This Row],[gross_cost]]-Table1[[#This Row],[CCR_single_base]]</f>
        <v>346.56163727809803</v>
      </c>
      <c r="AN32">
        <f>Table1[[#This Row],[gross_cost]]-Table1[[#This Row],[CCR_couple_base]]</f>
        <v>196.56163727809803</v>
      </c>
      <c r="AO32">
        <f>Table1[[#This Row],[gross_cost]]-Table1[[#This Row],[CCR_family4_rural]]</f>
        <v>-13.438362721901967</v>
      </c>
      <c r="AP32">
        <v>316.56163727809798</v>
      </c>
      <c r="AQ32">
        <v>151.561637278098</v>
      </c>
      <c r="AR32">
        <v>-13.438362721900999</v>
      </c>
      <c r="AS32">
        <f>Table1[[#This Row],[direct_tax]]/Table1[[#This Row],[total_exp]]</f>
        <v>2.0515300469213025E-3</v>
      </c>
      <c r="AT32">
        <f>Table1[[#This Row],[gross_cost]]/Table1[[#This Row],[total_exp]]</f>
        <v>3.3672629978964974E-3</v>
      </c>
      <c r="AU32">
        <v>1.80487692188121E-3</v>
      </c>
      <c r="AV32">
        <v>1.0236838838735599E-3</v>
      </c>
      <c r="AW32">
        <v>2.4249084586592E-4</v>
      </c>
      <c r="AX32">
        <v>1.64863831427968E-3</v>
      </c>
      <c r="AY32">
        <v>7.8932597247127203E-4</v>
      </c>
      <c r="AZ32" s="1">
        <v>-6.9986369337137104E-5</v>
      </c>
    </row>
    <row r="33" spans="1:52" x14ac:dyDescent="0.2">
      <c r="A33" t="s">
        <v>52</v>
      </c>
      <c r="B33">
        <v>2022</v>
      </c>
      <c r="C33">
        <v>50</v>
      </c>
      <c r="D33" t="s">
        <v>60</v>
      </c>
      <c r="E33">
        <v>1252949</v>
      </c>
      <c r="F33">
        <v>2906.5</v>
      </c>
      <c r="G33">
        <v>1416</v>
      </c>
      <c r="H33">
        <v>259.5</v>
      </c>
      <c r="I33">
        <v>218788</v>
      </c>
      <c r="J33">
        <v>1.6998888888888799</v>
      </c>
      <c r="K33">
        <v>2.18194444444444</v>
      </c>
      <c r="L33">
        <v>1709.81763513955</v>
      </c>
      <c r="M33">
        <v>118.93061744112001</v>
      </c>
      <c r="N33">
        <v>7.2019254500000005E-2</v>
      </c>
      <c r="O33">
        <v>101.979264372</v>
      </c>
      <c r="P33">
        <v>2738.4491861813099</v>
      </c>
      <c r="Q33">
        <v>0.1105</v>
      </c>
      <c r="R33">
        <v>0.1341</v>
      </c>
      <c r="S33">
        <v>9.7900000000000001E-2</v>
      </c>
      <c r="T33">
        <v>2.6289087000000002</v>
      </c>
      <c r="U33">
        <v>188.93484868292001</v>
      </c>
      <c r="V33">
        <v>15.9485957988542</v>
      </c>
      <c r="W33">
        <v>268.09417532715003</v>
      </c>
      <c r="X33">
        <v>472.977619808925</v>
      </c>
      <c r="Y33">
        <v>318.35801500573501</v>
      </c>
      <c r="Z33">
        <v>578</v>
      </c>
      <c r="AA33">
        <v>0.81556603809577799</v>
      </c>
      <c r="AB33">
        <v>0.69171047562886001</v>
      </c>
      <c r="AC33" t="s">
        <v>55</v>
      </c>
      <c r="AD33">
        <v>0.81556603809577799</v>
      </c>
      <c r="AE33">
        <v>385.74448349553597</v>
      </c>
      <c r="AF33">
        <v>858.72210330446205</v>
      </c>
      <c r="AG33">
        <v>373</v>
      </c>
      <c r="AH33">
        <v>559</v>
      </c>
      <c r="AI33">
        <v>745</v>
      </c>
      <c r="AJ33">
        <v>410.3</v>
      </c>
      <c r="AK33">
        <v>614.9</v>
      </c>
      <c r="AL33">
        <v>819.5</v>
      </c>
      <c r="AM33">
        <f>Table1[[#This Row],[gross_cost]]-Table1[[#This Row],[CCR_single_base]]</f>
        <v>485.72210330446205</v>
      </c>
      <c r="AN33">
        <f>Table1[[#This Row],[gross_cost]]-Table1[[#This Row],[CCR_couple_base]]</f>
        <v>299.72210330446205</v>
      </c>
      <c r="AO33">
        <f>Table1[[#This Row],[gross_cost]]-Table1[[#This Row],[CCR_family4_rural]]</f>
        <v>39.222103304462053</v>
      </c>
      <c r="AP33">
        <v>448.42210330446198</v>
      </c>
      <c r="AQ33">
        <v>243.82210330446199</v>
      </c>
      <c r="AR33">
        <v>39.222103304462003</v>
      </c>
      <c r="AS33">
        <f>Table1[[#This Row],[direct_tax]]/Table1[[#This Row],[total_exp]]</f>
        <v>2.1618078679311709E-3</v>
      </c>
      <c r="AT33">
        <f>Table1[[#This Row],[gross_cost]]/Table1[[#This Row],[total_exp]]</f>
        <v>3.9249049459040806E-3</v>
      </c>
      <c r="AU33">
        <v>2.2200582449881201E-3</v>
      </c>
      <c r="AV33">
        <v>1.3699202118236001E-3</v>
      </c>
      <c r="AW33">
        <v>5.19782178659077E-4</v>
      </c>
      <c r="AX33">
        <v>2.04957357489653E-3</v>
      </c>
      <c r="AY33">
        <v>1.11442173841555E-3</v>
      </c>
      <c r="AZ33">
        <v>1.7926990193457601E-4</v>
      </c>
    </row>
    <row r="34" spans="1:52" x14ac:dyDescent="0.2">
      <c r="A34" t="s">
        <v>52</v>
      </c>
      <c r="B34">
        <v>2023</v>
      </c>
      <c r="C34">
        <v>65</v>
      </c>
      <c r="D34" t="s">
        <v>60</v>
      </c>
      <c r="E34">
        <v>1281498</v>
      </c>
      <c r="F34">
        <v>3009</v>
      </c>
      <c r="G34">
        <v>1567</v>
      </c>
      <c r="H34">
        <v>285</v>
      </c>
      <c r="I34">
        <v>245562</v>
      </c>
      <c r="J34">
        <v>1.55883333333333</v>
      </c>
      <c r="K34">
        <v>1.9092499999999999</v>
      </c>
      <c r="L34">
        <v>1930.2897466053601</v>
      </c>
      <c r="M34">
        <v>149.27327484614301</v>
      </c>
      <c r="N34">
        <v>7.2019254500000005E-2</v>
      </c>
      <c r="O34">
        <v>112.8541718015</v>
      </c>
      <c r="P34">
        <v>3030.4730753856702</v>
      </c>
      <c r="Q34">
        <v>0.1431</v>
      </c>
      <c r="R34">
        <v>0.17380000000000001</v>
      </c>
      <c r="S34">
        <v>0.1239</v>
      </c>
      <c r="T34">
        <v>3.3270867000000002</v>
      </c>
      <c r="U34">
        <v>276.22446273922799</v>
      </c>
      <c r="V34">
        <v>25.943695168259701</v>
      </c>
      <c r="W34">
        <v>375.475614040285</v>
      </c>
      <c r="X34">
        <v>677.64377194777296</v>
      </c>
      <c r="Y34">
        <v>456.55608219540198</v>
      </c>
      <c r="AB34">
        <v>0.62792526627302103</v>
      </c>
      <c r="AC34" t="s">
        <v>54</v>
      </c>
      <c r="AD34">
        <v>0.62792526627302103</v>
      </c>
      <c r="AE34">
        <v>425.50964593856003</v>
      </c>
      <c r="AF34">
        <v>1103.1534178863301</v>
      </c>
      <c r="AG34">
        <v>488</v>
      </c>
      <c r="AH34">
        <v>732</v>
      </c>
      <c r="AI34">
        <v>976</v>
      </c>
      <c r="AJ34">
        <v>536.79999999999995</v>
      </c>
      <c r="AK34">
        <v>805.2</v>
      </c>
      <c r="AL34">
        <v>1073.5999999999999</v>
      </c>
      <c r="AM34">
        <f>Table1[[#This Row],[gross_cost]]-Table1[[#This Row],[CCR_single_base]]</f>
        <v>615.15341788633009</v>
      </c>
      <c r="AN34">
        <f>Table1[[#This Row],[gross_cost]]-Table1[[#This Row],[CCR_couple_base]]</f>
        <v>371.15341788633009</v>
      </c>
      <c r="AO34">
        <f>Table1[[#This Row],[gross_cost]]-Table1[[#This Row],[CCR_family4_rural]]</f>
        <v>29.55341788633018</v>
      </c>
      <c r="AP34">
        <v>566.35341788633298</v>
      </c>
      <c r="AQ34">
        <v>297.953417886333</v>
      </c>
      <c r="AR34">
        <v>29.553417886333801</v>
      </c>
      <c r="AS34">
        <f>Table1[[#This Row],[direct_tax]]/Table1[[#This Row],[total_exp]]</f>
        <v>2.7595628474591872E-3</v>
      </c>
      <c r="AT34">
        <f>Table1[[#This Row],[gross_cost]]/Table1[[#This Row],[total_exp]]</f>
        <v>4.4923620832471233E-3</v>
      </c>
      <c r="AU34">
        <v>2.5050839213165399E-3</v>
      </c>
      <c r="AV34">
        <v>1.51144484035125E-3</v>
      </c>
      <c r="AW34">
        <v>5.1780575938595503E-4</v>
      </c>
      <c r="AX34">
        <v>2.3063561051234801E-3</v>
      </c>
      <c r="AY34">
        <v>1.21335311606166E-3</v>
      </c>
      <c r="AZ34">
        <v>1.2035012699983601E-4</v>
      </c>
    </row>
    <row r="35" spans="1:52" x14ac:dyDescent="0.2">
      <c r="A35" t="s">
        <v>52</v>
      </c>
      <c r="B35">
        <v>2024</v>
      </c>
      <c r="C35">
        <v>80</v>
      </c>
      <c r="D35" t="s">
        <v>60</v>
      </c>
      <c r="E35">
        <v>1323606</v>
      </c>
      <c r="F35">
        <v>3009</v>
      </c>
      <c r="G35">
        <v>1567</v>
      </c>
      <c r="H35">
        <v>285</v>
      </c>
      <c r="I35">
        <v>245562</v>
      </c>
      <c r="J35">
        <v>1.56883333333333</v>
      </c>
      <c r="K35">
        <v>1.6484722222222199</v>
      </c>
      <c r="L35">
        <v>1917.98576436842</v>
      </c>
      <c r="M35">
        <v>172.88735361024499</v>
      </c>
      <c r="N35">
        <v>7.2019254500000005E-2</v>
      </c>
      <c r="O35">
        <v>112.8541718015</v>
      </c>
      <c r="P35">
        <v>3030.4730753856702</v>
      </c>
      <c r="Q35">
        <v>0.17610000000000001</v>
      </c>
      <c r="R35">
        <v>0.21390000000000001</v>
      </c>
      <c r="S35">
        <v>0.1525</v>
      </c>
      <c r="T35">
        <v>4.0950825000000002</v>
      </c>
      <c r="U35">
        <v>337.75729310527998</v>
      </c>
      <c r="V35">
        <v>36.980604937231398</v>
      </c>
      <c r="W35">
        <v>462.147143996316</v>
      </c>
      <c r="X35">
        <v>836.88504203882701</v>
      </c>
      <c r="Y35">
        <v>566.79722728595004</v>
      </c>
      <c r="Z35">
        <v>869</v>
      </c>
      <c r="AA35">
        <v>0.53317616630045195</v>
      </c>
      <c r="AB35">
        <v>0.56414005691718105</v>
      </c>
      <c r="AC35" t="s">
        <v>55</v>
      </c>
      <c r="AD35">
        <v>0.53317616630045195</v>
      </c>
      <c r="AE35">
        <v>446.20715834845402</v>
      </c>
      <c r="AF35">
        <v>1283.0922003872799</v>
      </c>
      <c r="AG35">
        <v>560</v>
      </c>
      <c r="AH35">
        <v>840</v>
      </c>
      <c r="AI35">
        <v>1120</v>
      </c>
      <c r="AJ35">
        <v>672</v>
      </c>
      <c r="AK35">
        <v>1008</v>
      </c>
      <c r="AL35">
        <v>1344</v>
      </c>
      <c r="AM35">
        <f>Table1[[#This Row],[gross_cost]]-Table1[[#This Row],[CCR_single_base]]</f>
        <v>723.09220038727995</v>
      </c>
      <c r="AN35">
        <f>Table1[[#This Row],[gross_cost]]-Table1[[#This Row],[CCR_couple_base]]</f>
        <v>443.09220038727995</v>
      </c>
      <c r="AO35">
        <f>Table1[[#This Row],[gross_cost]]-Table1[[#This Row],[CCR_family4_rural]]</f>
        <v>-60.907799612720055</v>
      </c>
      <c r="AP35">
        <v>611.09220038728199</v>
      </c>
      <c r="AQ35">
        <v>275.09220038728199</v>
      </c>
      <c r="AR35">
        <v>-60.907799612717497</v>
      </c>
      <c r="AS35">
        <f>Table1[[#This Row],[direct_tax]]/Table1[[#This Row],[total_exp]]</f>
        <v>3.4080396887092752E-3</v>
      </c>
      <c r="AT35">
        <f>Table1[[#This Row],[gross_cost]]/Table1[[#This Row],[total_exp]]</f>
        <v>5.2251252245350665E-3</v>
      </c>
      <c r="AU35">
        <v>2.9446420878934099E-3</v>
      </c>
      <c r="AV35">
        <v>1.8044005195725799E-3</v>
      </c>
      <c r="AW35">
        <v>6.6415895125174998E-4</v>
      </c>
      <c r="AX35">
        <v>2.48854546056508E-3</v>
      </c>
      <c r="AY35">
        <v>1.12025557858008E-3</v>
      </c>
      <c r="AZ35">
        <v>-2.4803430340491399E-4</v>
      </c>
    </row>
    <row r="36" spans="1:52" x14ac:dyDescent="0.2">
      <c r="A36" t="s">
        <v>52</v>
      </c>
      <c r="B36">
        <v>2025</v>
      </c>
      <c r="C36">
        <v>0</v>
      </c>
      <c r="D36" t="s">
        <v>60</v>
      </c>
      <c r="E36">
        <v>1323606</v>
      </c>
      <c r="F36">
        <v>3009</v>
      </c>
      <c r="G36">
        <v>1567</v>
      </c>
      <c r="H36">
        <v>285</v>
      </c>
      <c r="I36">
        <v>245562</v>
      </c>
      <c r="J36">
        <v>1.39052777777777</v>
      </c>
      <c r="K36">
        <v>1.57161111111111</v>
      </c>
      <c r="L36">
        <v>2163.9265666513502</v>
      </c>
      <c r="M36">
        <v>181.34257131747299</v>
      </c>
      <c r="N36">
        <v>7.2019254500000005E-2</v>
      </c>
      <c r="O36">
        <v>112.8541718015</v>
      </c>
      <c r="P36">
        <v>3030.4730753856702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B36">
        <v>0</v>
      </c>
      <c r="AC36" t="s">
        <v>56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f>Table1[[#This Row],[gross_cost]]-Table1[[#This Row],[CCR_single_base]]</f>
        <v>0</v>
      </c>
      <c r="AN36">
        <f>Table1[[#This Row],[gross_cost]]-Table1[[#This Row],[CCR_couple_base]]</f>
        <v>0</v>
      </c>
      <c r="AO36">
        <f>Table1[[#This Row],[gross_cost]]-Table1[[#This Row],[CCR_family4_rural]]</f>
        <v>0</v>
      </c>
      <c r="AP36">
        <v>0</v>
      </c>
      <c r="AQ36">
        <v>0</v>
      </c>
      <c r="AR36">
        <v>0</v>
      </c>
      <c r="AS36">
        <f>Table1[[#This Row],[direct_tax]]/Table1[[#This Row],[total_exp]]</f>
        <v>0</v>
      </c>
      <c r="AT36">
        <f>Table1[[#This Row],[gross_cost]]/Table1[[#This Row],[total_exp]]</f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61</v>
      </c>
      <c r="B37">
        <v>2019</v>
      </c>
      <c r="C37">
        <v>20</v>
      </c>
      <c r="D37" t="s">
        <v>53</v>
      </c>
      <c r="E37">
        <v>95302</v>
      </c>
      <c r="F37">
        <v>1067</v>
      </c>
      <c r="G37">
        <v>191</v>
      </c>
      <c r="I37">
        <v>38514</v>
      </c>
      <c r="J37">
        <v>1.09033333333333</v>
      </c>
      <c r="K37">
        <v>1.1459999999999999</v>
      </c>
      <c r="L37">
        <v>978.59981656985599</v>
      </c>
      <c r="N37">
        <v>0.13862989319999999</v>
      </c>
      <c r="O37">
        <v>26.478309601199999</v>
      </c>
      <c r="P37">
        <v>711.022047721023</v>
      </c>
      <c r="Q37">
        <v>4.4200000000000003E-2</v>
      </c>
      <c r="R37">
        <v>5.3699999999999998E-2</v>
      </c>
      <c r="S37">
        <v>3.9100000000000003E-2</v>
      </c>
      <c r="T37">
        <v>1.0499522999999999</v>
      </c>
      <c r="U37">
        <v>43.254111892387598</v>
      </c>
      <c r="W37">
        <v>27.800962065892001</v>
      </c>
      <c r="X37">
        <v>71.055073958279607</v>
      </c>
      <c r="Y37">
        <v>173.19288063814599</v>
      </c>
      <c r="AB37">
        <v>0.80731994884525005</v>
      </c>
      <c r="AC37" t="s">
        <v>54</v>
      </c>
      <c r="AD37">
        <v>0.80731994884525005</v>
      </c>
      <c r="AE37">
        <v>57.364178673193798</v>
      </c>
      <c r="AF37">
        <v>128.419252631473</v>
      </c>
      <c r="AG37">
        <v>170</v>
      </c>
      <c r="AH37">
        <v>255</v>
      </c>
      <c r="AI37">
        <v>339</v>
      </c>
      <c r="AJ37">
        <v>187</v>
      </c>
      <c r="AK37">
        <v>280.5</v>
      </c>
      <c r="AL37">
        <v>372.9</v>
      </c>
      <c r="AM37">
        <f>Table1[[#This Row],[gross_cost]]-Table1[[#This Row],[CCR_single_base]]</f>
        <v>-41.580747368527</v>
      </c>
      <c r="AN37">
        <f>Table1[[#This Row],[gross_cost]]-Table1[[#This Row],[CCR_couple_base]]</f>
        <v>-126.580747368527</v>
      </c>
      <c r="AO37">
        <f>Table1[[#This Row],[gross_cost]]-Table1[[#This Row],[CCR_family4_rural]]</f>
        <v>-244.48074736852698</v>
      </c>
      <c r="AP37">
        <v>-58.580747368526403</v>
      </c>
      <c r="AQ37">
        <v>-152.080747368526</v>
      </c>
      <c r="AR37">
        <v>-244.48074736852601</v>
      </c>
      <c r="AS37">
        <f>Table1[[#This Row],[direct_tax]]/Table1[[#This Row],[total_exp]]</f>
        <v>1.8449154582302438E-3</v>
      </c>
      <c r="AT37">
        <f>Table1[[#This Row],[gross_cost]]/Table1[[#This Row],[total_exp]]</f>
        <v>3.3343525115924859E-3</v>
      </c>
      <c r="AU37">
        <v>-1.07962682059839E-3</v>
      </c>
      <c r="AV37">
        <v>-3.2866164866938298E-3</v>
      </c>
      <c r="AW37">
        <v>-5.4676415684822696E-3</v>
      </c>
      <c r="AX37">
        <v>-1.52102475381748E-3</v>
      </c>
      <c r="AY37">
        <v>-3.9487133865224698E-3</v>
      </c>
      <c r="AZ37">
        <v>-6.3478409764897497E-3</v>
      </c>
    </row>
    <row r="38" spans="1:52" x14ac:dyDescent="0.2">
      <c r="A38" t="s">
        <v>61</v>
      </c>
      <c r="B38">
        <v>2020</v>
      </c>
      <c r="C38">
        <v>30</v>
      </c>
      <c r="D38" t="s">
        <v>53</v>
      </c>
      <c r="E38">
        <v>103788</v>
      </c>
      <c r="F38">
        <v>1110</v>
      </c>
      <c r="G38">
        <v>197</v>
      </c>
      <c r="I38">
        <v>38633</v>
      </c>
      <c r="J38">
        <v>0.93674999999999997</v>
      </c>
      <c r="K38">
        <v>0.95808333333333295</v>
      </c>
      <c r="L38">
        <v>1184.94795836669</v>
      </c>
      <c r="N38">
        <v>0.13862989319999999</v>
      </c>
      <c r="O38">
        <v>27.310088960399899</v>
      </c>
      <c r="P38">
        <v>733.35781885362098</v>
      </c>
      <c r="Q38">
        <v>6.6299999999999998E-2</v>
      </c>
      <c r="R38">
        <v>8.0500000000000002E-2</v>
      </c>
      <c r="S38">
        <v>5.8700000000000002E-2</v>
      </c>
      <c r="T38">
        <v>1.5762711</v>
      </c>
      <c r="U38">
        <v>78.562049639711702</v>
      </c>
      <c r="W38">
        <v>43.048103966707501</v>
      </c>
      <c r="X38">
        <v>121.610153606419</v>
      </c>
      <c r="Y38">
        <v>274.03887187305497</v>
      </c>
      <c r="AB38">
        <v>0.724439213202277</v>
      </c>
      <c r="AC38" t="s">
        <v>54</v>
      </c>
      <c r="AD38">
        <v>0.724439213202277</v>
      </c>
      <c r="AE38">
        <v>88.099163996042506</v>
      </c>
      <c r="AF38">
        <v>209.709317602461</v>
      </c>
      <c r="AG38">
        <v>243</v>
      </c>
      <c r="AH38">
        <v>364</v>
      </c>
      <c r="AI38">
        <v>486</v>
      </c>
      <c r="AJ38">
        <v>267.3</v>
      </c>
      <c r="AK38">
        <v>400.4</v>
      </c>
      <c r="AL38">
        <v>534.6</v>
      </c>
      <c r="AM38">
        <f>Table1[[#This Row],[gross_cost]]-Table1[[#This Row],[CCR_single_base]]</f>
        <v>-33.290682397539001</v>
      </c>
      <c r="AN38">
        <f>Table1[[#This Row],[gross_cost]]-Table1[[#This Row],[CCR_couple_base]]</f>
        <v>-154.290682397539</v>
      </c>
      <c r="AO38">
        <f>Table1[[#This Row],[gross_cost]]-Table1[[#This Row],[CCR_family4_rural]]</f>
        <v>-324.89068239753902</v>
      </c>
      <c r="AP38">
        <v>-57.590682397538103</v>
      </c>
      <c r="AQ38">
        <v>-190.69068239753801</v>
      </c>
      <c r="AR38">
        <v>-324.890682397538</v>
      </c>
      <c r="AS38">
        <f>Table1[[#This Row],[direct_tax]]/Table1[[#This Row],[total_exp]]</f>
        <v>3.1478309633323587E-3</v>
      </c>
      <c r="AT38">
        <f>Table1[[#This Row],[gross_cost]]/Table1[[#This Row],[total_exp]]</f>
        <v>5.4282431497026115E-3</v>
      </c>
      <c r="AU38">
        <v>-8.6171621146527802E-4</v>
      </c>
      <c r="AV38">
        <v>-3.9937535888369497E-3</v>
      </c>
      <c r="AW38">
        <v>-7.1516755726331897E-3</v>
      </c>
      <c r="AX38">
        <v>-1.49071214758206E-3</v>
      </c>
      <c r="AY38">
        <v>-4.9359532626909097E-3</v>
      </c>
      <c r="AZ38">
        <v>-8.4096674448667693E-3</v>
      </c>
    </row>
    <row r="39" spans="1:52" x14ac:dyDescent="0.2">
      <c r="A39" t="s">
        <v>61</v>
      </c>
      <c r="B39">
        <v>2021</v>
      </c>
      <c r="C39">
        <v>40</v>
      </c>
      <c r="D39" t="s">
        <v>53</v>
      </c>
      <c r="E39">
        <v>102295</v>
      </c>
      <c r="F39">
        <v>1153</v>
      </c>
      <c r="G39">
        <v>203</v>
      </c>
      <c r="I39">
        <v>38752</v>
      </c>
      <c r="J39">
        <v>1.25941666666666</v>
      </c>
      <c r="K39">
        <v>1.1819166666666601</v>
      </c>
      <c r="L39">
        <v>915.50320915767804</v>
      </c>
      <c r="N39">
        <v>0.13862989319999999</v>
      </c>
      <c r="O39">
        <v>28.141868319599901</v>
      </c>
      <c r="P39">
        <v>755.69358998621794</v>
      </c>
      <c r="Q39">
        <v>8.8400000000000006E-2</v>
      </c>
      <c r="R39">
        <v>0.10730000000000001</v>
      </c>
      <c r="S39">
        <v>7.8299999999999995E-2</v>
      </c>
      <c r="T39">
        <v>2.1025898999999999</v>
      </c>
      <c r="U39">
        <v>80.930483689538804</v>
      </c>
      <c r="W39">
        <v>59.170808095920897</v>
      </c>
      <c r="X39">
        <v>140.10129178545901</v>
      </c>
      <c r="Y39">
        <v>294.12709451574398</v>
      </c>
      <c r="Z39">
        <v>462</v>
      </c>
      <c r="AA39">
        <v>0.57074954539854506</v>
      </c>
      <c r="AB39">
        <v>0.64155847755930395</v>
      </c>
      <c r="AC39" t="s">
        <v>55</v>
      </c>
      <c r="AD39">
        <v>0.57074954539854506</v>
      </c>
      <c r="AE39">
        <v>79.962748596300102</v>
      </c>
      <c r="AF39">
        <v>220.06404038175901</v>
      </c>
      <c r="AG39">
        <v>360</v>
      </c>
      <c r="AH39">
        <v>540</v>
      </c>
      <c r="AI39">
        <v>720</v>
      </c>
      <c r="AJ39">
        <v>396</v>
      </c>
      <c r="AK39">
        <v>594</v>
      </c>
      <c r="AL39">
        <v>792</v>
      </c>
      <c r="AM39">
        <f>Table1[[#This Row],[gross_cost]]-Table1[[#This Row],[CCR_single_base]]</f>
        <v>-139.93595961824099</v>
      </c>
      <c r="AN39">
        <f>Table1[[#This Row],[gross_cost]]-Table1[[#This Row],[CCR_couple_base]]</f>
        <v>-319.93595961824099</v>
      </c>
      <c r="AO39">
        <f>Table1[[#This Row],[gross_cost]]-Table1[[#This Row],[CCR_family4_rural]]</f>
        <v>-571.93595961824099</v>
      </c>
      <c r="AP39">
        <v>-175.93595961823999</v>
      </c>
      <c r="AQ39">
        <v>-373.93595961824002</v>
      </c>
      <c r="AR39">
        <v>-571.93595961823996</v>
      </c>
      <c r="AS39">
        <f>Table1[[#This Row],[direct_tax]]/Table1[[#This Row],[total_exp]]</f>
        <v>3.6153306096577986E-3</v>
      </c>
      <c r="AT39">
        <f>Table1[[#This Row],[gross_cost]]/Table1[[#This Row],[total_exp]]</f>
        <v>5.6787789115854415E-3</v>
      </c>
      <c r="AU39">
        <v>-3.6110641932865402E-3</v>
      </c>
      <c r="AV39">
        <v>-8.2559857457225397E-3</v>
      </c>
      <c r="AW39">
        <v>-1.2900907298158499E-2</v>
      </c>
      <c r="AX39">
        <v>-4.5400485037737403E-3</v>
      </c>
      <c r="AY39">
        <v>-9.6494622114533402E-3</v>
      </c>
      <c r="AZ39">
        <v>-1.4758875919132899E-2</v>
      </c>
    </row>
    <row r="40" spans="1:52" x14ac:dyDescent="0.2">
      <c r="A40" t="s">
        <v>61</v>
      </c>
      <c r="B40">
        <v>2022</v>
      </c>
      <c r="C40">
        <v>50</v>
      </c>
      <c r="D40" t="s">
        <v>53</v>
      </c>
      <c r="E40">
        <v>103495</v>
      </c>
      <c r="F40">
        <v>1153</v>
      </c>
      <c r="G40">
        <v>213</v>
      </c>
      <c r="I40">
        <v>38416.5</v>
      </c>
      <c r="J40">
        <v>1.70891666666666</v>
      </c>
      <c r="K40">
        <v>1.7853333333333301</v>
      </c>
      <c r="L40">
        <v>674.69644511630099</v>
      </c>
      <c r="N40">
        <v>0.13862989319999999</v>
      </c>
      <c r="O40">
        <v>29.528167251599999</v>
      </c>
      <c r="P40">
        <v>792.91987520721398</v>
      </c>
      <c r="Q40">
        <v>0.1105</v>
      </c>
      <c r="R40">
        <v>0.1341</v>
      </c>
      <c r="S40">
        <v>9.7900000000000001E-2</v>
      </c>
      <c r="T40">
        <v>2.6289087000000002</v>
      </c>
      <c r="U40">
        <v>74.553957185351294</v>
      </c>
      <c r="W40">
        <v>77.626855782786294</v>
      </c>
      <c r="X40">
        <v>152.18081296813699</v>
      </c>
      <c r="Y40">
        <v>338.15467872836598</v>
      </c>
      <c r="Z40">
        <v>559</v>
      </c>
      <c r="AA40">
        <v>0.65308965146400899</v>
      </c>
      <c r="AB40">
        <v>0.55867774191633002</v>
      </c>
      <c r="AC40" t="s">
        <v>55</v>
      </c>
      <c r="AD40">
        <v>0.65308965146400899</v>
      </c>
      <c r="AE40">
        <v>99.387714100870596</v>
      </c>
      <c r="AF40">
        <v>251.56852706900801</v>
      </c>
      <c r="AG40">
        <v>416</v>
      </c>
      <c r="AH40">
        <v>624</v>
      </c>
      <c r="AI40">
        <v>832</v>
      </c>
      <c r="AJ40">
        <v>457.6</v>
      </c>
      <c r="AK40">
        <v>686.4</v>
      </c>
      <c r="AL40">
        <v>915.2</v>
      </c>
      <c r="AM40">
        <f>Table1[[#This Row],[gross_cost]]-Table1[[#This Row],[CCR_single_base]]</f>
        <v>-164.43147293099199</v>
      </c>
      <c r="AN40">
        <f>Table1[[#This Row],[gross_cost]]-Table1[[#This Row],[CCR_couple_base]]</f>
        <v>-372.43147293099196</v>
      </c>
      <c r="AO40">
        <f>Table1[[#This Row],[gross_cost]]-Table1[[#This Row],[CCR_family4_rural]]</f>
        <v>-663.631472930992</v>
      </c>
      <c r="AP40">
        <v>-206.03147293099099</v>
      </c>
      <c r="AQ40">
        <v>-434.83147293099103</v>
      </c>
      <c r="AR40">
        <v>-663.63147293099098</v>
      </c>
      <c r="AS40">
        <f>Table1[[#This Row],[direct_tax]]/Table1[[#This Row],[total_exp]]</f>
        <v>3.9613398661548288E-3</v>
      </c>
      <c r="AT40">
        <f>Table1[[#This Row],[gross_cost]]/Table1[[#This Row],[total_exp]]</f>
        <v>6.5484499386723937E-3</v>
      </c>
      <c r="AU40">
        <v>-4.28023044605811E-3</v>
      </c>
      <c r="AV40">
        <v>-9.6945706384233693E-3</v>
      </c>
      <c r="AW40">
        <v>-1.5108910830788601E-2</v>
      </c>
      <c r="AX40">
        <v>-5.3630984845311697E-3</v>
      </c>
      <c r="AY40">
        <v>-1.13188726961329E-2</v>
      </c>
      <c r="AZ40">
        <v>-1.7274646907734701E-2</v>
      </c>
    </row>
    <row r="41" spans="1:52" x14ac:dyDescent="0.2">
      <c r="A41" t="s">
        <v>61</v>
      </c>
      <c r="B41">
        <v>2023</v>
      </c>
      <c r="C41">
        <v>65</v>
      </c>
      <c r="D41" t="s">
        <v>53</v>
      </c>
      <c r="E41">
        <v>79967</v>
      </c>
      <c r="F41">
        <v>1153</v>
      </c>
      <c r="G41">
        <v>223</v>
      </c>
      <c r="I41">
        <v>38081</v>
      </c>
      <c r="J41">
        <v>1.5527500000000001</v>
      </c>
      <c r="K41">
        <v>1.5549166666666601</v>
      </c>
      <c r="L41">
        <v>742.55353405248695</v>
      </c>
      <c r="N41">
        <v>0.13862989319999999</v>
      </c>
      <c r="O41">
        <v>30.914466183599998</v>
      </c>
      <c r="P41">
        <v>830.14616042821001</v>
      </c>
      <c r="Q41">
        <v>0.1431</v>
      </c>
      <c r="R41">
        <v>0.17380000000000001</v>
      </c>
      <c r="S41">
        <v>0.1239</v>
      </c>
      <c r="T41">
        <v>3.3270867000000002</v>
      </c>
      <c r="U41">
        <v>106.25941072291</v>
      </c>
      <c r="W41">
        <v>102.85510927705501</v>
      </c>
      <c r="X41">
        <v>209.11451999996601</v>
      </c>
      <c r="Y41">
        <v>498.54860869004602</v>
      </c>
      <c r="AB41">
        <v>0.434356638451871</v>
      </c>
      <c r="AC41" t="s">
        <v>54</v>
      </c>
      <c r="AD41">
        <v>0.434356638451871</v>
      </c>
      <c r="AE41">
        <v>90.830279958661905</v>
      </c>
      <c r="AF41">
        <v>299.94479995862798</v>
      </c>
      <c r="AG41">
        <v>528</v>
      </c>
      <c r="AH41">
        <v>792</v>
      </c>
      <c r="AI41">
        <v>1056</v>
      </c>
      <c r="AJ41">
        <v>580.79999999999995</v>
      </c>
      <c r="AK41">
        <v>871.2</v>
      </c>
      <c r="AL41">
        <v>1161.5999999999999</v>
      </c>
      <c r="AM41">
        <f>Table1[[#This Row],[gross_cost]]-Table1[[#This Row],[CCR_single_base]]</f>
        <v>-228.05520004137202</v>
      </c>
      <c r="AN41">
        <f>Table1[[#This Row],[gross_cost]]-Table1[[#This Row],[CCR_couple_base]]</f>
        <v>-492.05520004137202</v>
      </c>
      <c r="AO41">
        <f>Table1[[#This Row],[gross_cost]]-Table1[[#This Row],[CCR_family4_rural]]</f>
        <v>-861.65520004137193</v>
      </c>
      <c r="AP41">
        <v>-280.85520004137101</v>
      </c>
      <c r="AQ41">
        <v>-571.25520004137104</v>
      </c>
      <c r="AR41">
        <v>-861.65520004137102</v>
      </c>
      <c r="AS41">
        <f>Table1[[#This Row],[direct_tax]]/Table1[[#This Row],[total_exp]]</f>
        <v>5.4913085265609098E-3</v>
      </c>
      <c r="AT41">
        <f>Table1[[#This Row],[gross_cost]]/Table1[[#This Row],[total_exp]]</f>
        <v>7.8764948388600087E-3</v>
      </c>
      <c r="AU41">
        <v>-5.9886872729542698E-3</v>
      </c>
      <c r="AV41">
        <v>-1.29212783288614E-2</v>
      </c>
      <c r="AW41">
        <v>-1.9853869384768501E-2</v>
      </c>
      <c r="AX41">
        <v>-7.3752054841357004E-3</v>
      </c>
      <c r="AY41">
        <v>-1.5001055645633501E-2</v>
      </c>
      <c r="AZ41">
        <v>-2.2626905807131399E-2</v>
      </c>
    </row>
    <row r="42" spans="1:52" x14ac:dyDescent="0.2">
      <c r="A42" t="s">
        <v>61</v>
      </c>
      <c r="B42">
        <v>2024</v>
      </c>
      <c r="C42">
        <v>80</v>
      </c>
      <c r="D42" t="s">
        <v>53</v>
      </c>
      <c r="E42">
        <v>100887</v>
      </c>
      <c r="F42">
        <v>1153</v>
      </c>
      <c r="G42">
        <v>223</v>
      </c>
      <c r="I42">
        <v>38081</v>
      </c>
      <c r="J42">
        <v>1.34116666666666</v>
      </c>
      <c r="K42">
        <v>1.3398333333333301</v>
      </c>
      <c r="L42">
        <v>859.69926680750496</v>
      </c>
      <c r="N42">
        <v>0.13862989319999999</v>
      </c>
      <c r="O42">
        <v>30.914466183599998</v>
      </c>
      <c r="P42">
        <v>830.14616042821001</v>
      </c>
      <c r="Q42">
        <v>0.17610000000000001</v>
      </c>
      <c r="R42">
        <v>0.21390000000000001</v>
      </c>
      <c r="S42">
        <v>0.1525</v>
      </c>
      <c r="T42">
        <v>4.0950825000000002</v>
      </c>
      <c r="U42">
        <v>151.393040884801</v>
      </c>
      <c r="W42">
        <v>126.597289465302</v>
      </c>
      <c r="X42">
        <v>277.99033035010302</v>
      </c>
      <c r="Y42">
        <v>643.64042647087604</v>
      </c>
      <c r="Z42">
        <v>828</v>
      </c>
      <c r="AA42">
        <v>0.28643255760049102</v>
      </c>
      <c r="AB42">
        <v>0.31003553498740999</v>
      </c>
      <c r="AC42" t="s">
        <v>55</v>
      </c>
      <c r="AD42">
        <v>0.28643255760049102</v>
      </c>
      <c r="AE42">
        <v>79.625481310385695</v>
      </c>
      <c r="AF42">
        <v>357.61581166048899</v>
      </c>
      <c r="AG42">
        <v>600</v>
      </c>
      <c r="AH42">
        <v>900</v>
      </c>
      <c r="AI42">
        <v>1200</v>
      </c>
      <c r="AJ42">
        <v>720</v>
      </c>
      <c r="AK42">
        <v>1080</v>
      </c>
      <c r="AL42">
        <v>1440</v>
      </c>
      <c r="AM42">
        <f>Table1[[#This Row],[gross_cost]]-Table1[[#This Row],[CCR_single_base]]</f>
        <v>-242.38418833951101</v>
      </c>
      <c r="AN42">
        <f>Table1[[#This Row],[gross_cost]]-Table1[[#This Row],[CCR_couple_base]]</f>
        <v>-542.38418833951096</v>
      </c>
      <c r="AO42">
        <f>Table1[[#This Row],[gross_cost]]-Table1[[#This Row],[CCR_family4_rural]]</f>
        <v>-1082.384188339511</v>
      </c>
      <c r="AP42">
        <v>-362.38418833950999</v>
      </c>
      <c r="AQ42">
        <v>-722.38418833951005</v>
      </c>
      <c r="AR42">
        <v>-1082.38418833951</v>
      </c>
      <c r="AS42">
        <f>Table1[[#This Row],[direct_tax]]/Table1[[#This Row],[total_exp]]</f>
        <v>7.2999745371734731E-3</v>
      </c>
      <c r="AT42">
        <f>Table1[[#This Row],[gross_cost]]/Table1[[#This Row],[total_exp]]</f>
        <v>9.3909249142745468E-3</v>
      </c>
      <c r="AU42">
        <v>-6.3649638491507596E-3</v>
      </c>
      <c r="AV42">
        <v>-1.42429082308634E-2</v>
      </c>
      <c r="AW42">
        <v>-2.2120852612576E-2</v>
      </c>
      <c r="AX42">
        <v>-9.51614160183583E-3</v>
      </c>
      <c r="AY42">
        <v>-1.8969674859891001E-2</v>
      </c>
      <c r="AZ42">
        <v>-2.84232081179462E-2</v>
      </c>
    </row>
    <row r="43" spans="1:52" x14ac:dyDescent="0.2">
      <c r="A43" t="s">
        <v>61</v>
      </c>
      <c r="B43">
        <v>2025</v>
      </c>
      <c r="C43">
        <v>0</v>
      </c>
      <c r="D43" t="s">
        <v>53</v>
      </c>
      <c r="E43">
        <v>100887</v>
      </c>
      <c r="F43">
        <v>1153</v>
      </c>
      <c r="G43">
        <v>223</v>
      </c>
      <c r="I43">
        <v>38081</v>
      </c>
      <c r="J43">
        <v>1.36283333333333</v>
      </c>
      <c r="K43">
        <v>1.26558333333333</v>
      </c>
      <c r="L43">
        <v>846.03155191390397</v>
      </c>
      <c r="N43">
        <v>0.13862989319999999</v>
      </c>
      <c r="O43">
        <v>30.914466183599998</v>
      </c>
      <c r="P43">
        <v>830.14616042821001</v>
      </c>
      <c r="Q43">
        <v>0</v>
      </c>
      <c r="R43">
        <v>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AB43">
        <v>0</v>
      </c>
      <c r="AC43" t="s">
        <v>56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f>Table1[[#This Row],[gross_cost]]-Table1[[#This Row],[CCR_single_base]]</f>
        <v>0</v>
      </c>
      <c r="AN43">
        <f>Table1[[#This Row],[gross_cost]]-Table1[[#This Row],[CCR_couple_base]]</f>
        <v>0</v>
      </c>
      <c r="AO43">
        <f>Table1[[#This Row],[gross_cost]]-Table1[[#This Row],[CCR_family4_rural]]</f>
        <v>0</v>
      </c>
      <c r="AP43">
        <v>0</v>
      </c>
      <c r="AQ43">
        <v>0</v>
      </c>
      <c r="AR43">
        <v>0</v>
      </c>
      <c r="AS43">
        <f>Table1[[#This Row],[direct_tax]]/Table1[[#This Row],[total_exp]]</f>
        <v>0</v>
      </c>
      <c r="AT43">
        <f>Table1[[#This Row],[gross_cost]]/Table1[[#This Row],[total_exp]]</f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61</v>
      </c>
      <c r="B44">
        <v>2019</v>
      </c>
      <c r="C44">
        <v>20</v>
      </c>
      <c r="D44" t="s">
        <v>57</v>
      </c>
      <c r="E44">
        <v>113395</v>
      </c>
      <c r="F44">
        <v>1861</v>
      </c>
      <c r="G44">
        <v>292</v>
      </c>
      <c r="H44">
        <v>57</v>
      </c>
      <c r="I44">
        <v>55147</v>
      </c>
      <c r="J44">
        <v>1.09033333333333</v>
      </c>
      <c r="K44">
        <v>1.1459999999999999</v>
      </c>
      <c r="L44">
        <v>1706.81748700703</v>
      </c>
      <c r="M44">
        <v>49.738219895287898</v>
      </c>
      <c r="N44">
        <v>0.13862989319999999</v>
      </c>
      <c r="O44">
        <v>40.479928814399997</v>
      </c>
      <c r="P44">
        <v>1087.0075284530801</v>
      </c>
      <c r="Q44">
        <v>4.4200000000000003E-2</v>
      </c>
      <c r="R44">
        <v>5.3699999999999998E-2</v>
      </c>
      <c r="S44">
        <v>3.9100000000000003E-2</v>
      </c>
      <c r="T44">
        <v>1.0499522999999999</v>
      </c>
      <c r="U44">
        <v>75.441332925710796</v>
      </c>
      <c r="V44">
        <v>2.67094240837696</v>
      </c>
      <c r="W44">
        <v>42.501994362515497</v>
      </c>
      <c r="X44">
        <v>120.614269696603</v>
      </c>
      <c r="Y44">
        <v>173.19288063814599</v>
      </c>
      <c r="AB44">
        <v>0.80731994884525005</v>
      </c>
      <c r="AC44" t="s">
        <v>54</v>
      </c>
      <c r="AD44">
        <v>0.80731994884525005</v>
      </c>
      <c r="AE44">
        <v>97.374306041468998</v>
      </c>
      <c r="AF44">
        <v>217.988575738072</v>
      </c>
      <c r="AG44">
        <v>170</v>
      </c>
      <c r="AH44">
        <v>255</v>
      </c>
      <c r="AI44">
        <v>339</v>
      </c>
      <c r="AJ44">
        <v>187</v>
      </c>
      <c r="AK44">
        <v>280.5</v>
      </c>
      <c r="AL44">
        <v>372.9</v>
      </c>
      <c r="AM44">
        <f>Table1[[#This Row],[gross_cost]]-Table1[[#This Row],[CCR_single_base]]</f>
        <v>47.988575738072001</v>
      </c>
      <c r="AN44">
        <f>Table1[[#This Row],[gross_cost]]-Table1[[#This Row],[CCR_couple_base]]</f>
        <v>-37.011424261927999</v>
      </c>
      <c r="AO44">
        <f>Table1[[#This Row],[gross_cost]]-Table1[[#This Row],[CCR_family4_rural]]</f>
        <v>-154.91142426192798</v>
      </c>
      <c r="AP44">
        <v>30.988575738072299</v>
      </c>
      <c r="AQ44">
        <v>-62.511424261927601</v>
      </c>
      <c r="AR44">
        <v>-154.91142426192701</v>
      </c>
      <c r="AS44">
        <f>Table1[[#This Row],[direct_tax]]/Table1[[#This Row],[total_exp]]</f>
        <v>2.187141090115564E-3</v>
      </c>
      <c r="AT44">
        <f>Table1[[#This Row],[gross_cost]]/Table1[[#This Row],[total_exp]]</f>
        <v>3.9528637231050099E-3</v>
      </c>
      <c r="AU44">
        <v>8.7019376825706496E-4</v>
      </c>
      <c r="AV44">
        <v>-6.7114120916691002E-4</v>
      </c>
      <c r="AW44">
        <v>-2.1943428339153098E-3</v>
      </c>
      <c r="AX44">
        <v>5.6192677277226905E-4</v>
      </c>
      <c r="AY44">
        <v>-1.1335417023941E-3</v>
      </c>
      <c r="AZ44">
        <v>-2.8090634896173398E-3</v>
      </c>
    </row>
    <row r="45" spans="1:52" x14ac:dyDescent="0.2">
      <c r="A45" t="s">
        <v>61</v>
      </c>
      <c r="B45">
        <v>2020</v>
      </c>
      <c r="C45">
        <v>30</v>
      </c>
      <c r="D45" t="s">
        <v>57</v>
      </c>
      <c r="E45">
        <v>118950</v>
      </c>
      <c r="F45">
        <v>1681</v>
      </c>
      <c r="G45">
        <v>289.5</v>
      </c>
      <c r="H45">
        <v>57</v>
      </c>
      <c r="I45">
        <v>55146</v>
      </c>
      <c r="J45">
        <v>0.93674999999999997</v>
      </c>
      <c r="K45">
        <v>0.95808333333333295</v>
      </c>
      <c r="L45">
        <v>1794.5022684814501</v>
      </c>
      <c r="M45">
        <v>59.493780986344198</v>
      </c>
      <c r="N45">
        <v>0.13862989319999999</v>
      </c>
      <c r="O45">
        <v>40.1333540814</v>
      </c>
      <c r="P45">
        <v>1077.70095714783</v>
      </c>
      <c r="Q45">
        <v>6.6299999999999998E-2</v>
      </c>
      <c r="R45">
        <v>8.0500000000000002E-2</v>
      </c>
      <c r="S45">
        <v>5.8700000000000002E-2</v>
      </c>
      <c r="T45">
        <v>1.5762711</v>
      </c>
      <c r="U45">
        <v>118.97550040032</v>
      </c>
      <c r="V45">
        <v>4.7892493694007099</v>
      </c>
      <c r="W45">
        <v>63.2610461845778</v>
      </c>
      <c r="X45">
        <v>187.02579595429799</v>
      </c>
      <c r="Y45">
        <v>274.03887187305497</v>
      </c>
      <c r="AB45">
        <v>0.724439213202277</v>
      </c>
      <c r="AC45" t="s">
        <v>54</v>
      </c>
      <c r="AD45">
        <v>0.724439213202277</v>
      </c>
      <c r="AE45">
        <v>135.48882046966199</v>
      </c>
      <c r="AF45">
        <v>322.51461642395998</v>
      </c>
      <c r="AG45">
        <v>243</v>
      </c>
      <c r="AH45">
        <v>364</v>
      </c>
      <c r="AI45">
        <v>486</v>
      </c>
      <c r="AJ45">
        <v>267.3</v>
      </c>
      <c r="AK45">
        <v>400.4</v>
      </c>
      <c r="AL45">
        <v>534.6</v>
      </c>
      <c r="AM45">
        <f>Table1[[#This Row],[gross_cost]]-Table1[[#This Row],[CCR_single_base]]</f>
        <v>79.514616423959978</v>
      </c>
      <c r="AN45">
        <f>Table1[[#This Row],[gross_cost]]-Table1[[#This Row],[CCR_couple_base]]</f>
        <v>-41.485383576040022</v>
      </c>
      <c r="AO45">
        <f>Table1[[#This Row],[gross_cost]]-Table1[[#This Row],[CCR_family4_rural]]</f>
        <v>-212.08538357604004</v>
      </c>
      <c r="AP45">
        <v>55.214616423960798</v>
      </c>
      <c r="AQ45">
        <v>-77.885383576039203</v>
      </c>
      <c r="AR45">
        <v>-212.08538357603899</v>
      </c>
      <c r="AS45">
        <f>Table1[[#This Row],[direct_tax]]/Table1[[#This Row],[total_exp]]</f>
        <v>3.3914662161226199E-3</v>
      </c>
      <c r="AT45">
        <f>Table1[[#This Row],[gross_cost]]/Table1[[#This Row],[total_exp]]</f>
        <v>5.8483773333326073E-3</v>
      </c>
      <c r="AU45">
        <v>1.44189272882821E-3</v>
      </c>
      <c r="AV45">
        <v>-7.5228273267397699E-4</v>
      </c>
      <c r="AW45">
        <v>-2.9645918756761899E-3</v>
      </c>
      <c r="AX45">
        <v>1.00124426837777E-3</v>
      </c>
      <c r="AY45">
        <v>-1.4123487392746299E-3</v>
      </c>
      <c r="AZ45">
        <v>-3.8458887965770699E-3</v>
      </c>
    </row>
    <row r="46" spans="1:52" x14ac:dyDescent="0.2">
      <c r="A46" t="s">
        <v>61</v>
      </c>
      <c r="B46">
        <v>2021</v>
      </c>
      <c r="C46">
        <v>40</v>
      </c>
      <c r="D46" t="s">
        <v>57</v>
      </c>
      <c r="E46">
        <v>118844</v>
      </c>
      <c r="F46">
        <v>1501</v>
      </c>
      <c r="G46">
        <v>287</v>
      </c>
      <c r="H46">
        <v>57</v>
      </c>
      <c r="I46">
        <v>55145</v>
      </c>
      <c r="J46">
        <v>1.25941666666666</v>
      </c>
      <c r="K46">
        <v>1.1819166666666601</v>
      </c>
      <c r="L46">
        <v>1191.82161053397</v>
      </c>
      <c r="M46">
        <v>48.226750334907898</v>
      </c>
      <c r="N46">
        <v>0.13862989319999999</v>
      </c>
      <c r="O46">
        <v>39.786779348399897</v>
      </c>
      <c r="P46">
        <v>1068.39438584258</v>
      </c>
      <c r="Q46">
        <v>8.8400000000000006E-2</v>
      </c>
      <c r="R46">
        <v>0.10730000000000001</v>
      </c>
      <c r="S46">
        <v>7.8299999999999995E-2</v>
      </c>
      <c r="T46">
        <v>2.1025898999999999</v>
      </c>
      <c r="U46">
        <v>105.357030371203</v>
      </c>
      <c r="V46">
        <v>5.1747303109356197</v>
      </c>
      <c r="W46">
        <v>83.655280411474394</v>
      </c>
      <c r="X46">
        <v>194.187041093613</v>
      </c>
      <c r="Y46">
        <v>294.12709451574398</v>
      </c>
      <c r="Z46">
        <v>462</v>
      </c>
      <c r="AA46">
        <v>0.57074954539854506</v>
      </c>
      <c r="AB46">
        <v>0.64155847755930395</v>
      </c>
      <c r="AC46" t="s">
        <v>55</v>
      </c>
      <c r="AD46">
        <v>0.57074954539854506</v>
      </c>
      <c r="AE46">
        <v>110.83216542646799</v>
      </c>
      <c r="AF46">
        <v>305.01920652008198</v>
      </c>
      <c r="AG46">
        <v>360</v>
      </c>
      <c r="AH46">
        <v>540</v>
      </c>
      <c r="AI46">
        <v>720</v>
      </c>
      <c r="AJ46">
        <v>396</v>
      </c>
      <c r="AK46">
        <v>594</v>
      </c>
      <c r="AL46">
        <v>792</v>
      </c>
      <c r="AM46">
        <f>Table1[[#This Row],[gross_cost]]-Table1[[#This Row],[CCR_single_base]]</f>
        <v>-54.98079347991802</v>
      </c>
      <c r="AN46">
        <f>Table1[[#This Row],[gross_cost]]-Table1[[#This Row],[CCR_couple_base]]</f>
        <v>-234.98079347991802</v>
      </c>
      <c r="AO46">
        <f>Table1[[#This Row],[gross_cost]]-Table1[[#This Row],[CCR_family4_rural]]</f>
        <v>-486.98079347991802</v>
      </c>
      <c r="AP46">
        <v>-90.980793479917693</v>
      </c>
      <c r="AQ46">
        <v>-288.980793479917</v>
      </c>
      <c r="AR46">
        <v>-486.980793479917</v>
      </c>
      <c r="AS46">
        <f>Table1[[#This Row],[direct_tax]]/Table1[[#This Row],[total_exp]]</f>
        <v>3.5213898103837703E-3</v>
      </c>
      <c r="AT46">
        <f>Table1[[#This Row],[gross_cost]]/Table1[[#This Row],[total_exp]]</f>
        <v>5.5312214438313894E-3</v>
      </c>
      <c r="AU46">
        <v>-9.970222772675251E-4</v>
      </c>
      <c r="AV46">
        <v>-4.2611441378169797E-3</v>
      </c>
      <c r="AW46">
        <v>-7.5252659983664396E-3</v>
      </c>
      <c r="AX46">
        <v>-1.6498466493774101E-3</v>
      </c>
      <c r="AY46">
        <v>-5.2403806959818201E-3</v>
      </c>
      <c r="AZ46">
        <v>-8.8309147425862308E-3</v>
      </c>
    </row>
    <row r="47" spans="1:52" x14ac:dyDescent="0.2">
      <c r="A47" t="s">
        <v>61</v>
      </c>
      <c r="B47">
        <v>2022</v>
      </c>
      <c r="C47">
        <v>50</v>
      </c>
      <c r="D47" t="s">
        <v>57</v>
      </c>
      <c r="E47">
        <v>119469</v>
      </c>
      <c r="F47">
        <v>1619.5</v>
      </c>
      <c r="G47">
        <v>334.5</v>
      </c>
      <c r="H47">
        <v>43.5</v>
      </c>
      <c r="I47">
        <v>57728.5</v>
      </c>
      <c r="J47">
        <v>1.70891666666666</v>
      </c>
      <c r="K47">
        <v>1.7853333333333301</v>
      </c>
      <c r="L47">
        <v>947.67640317940197</v>
      </c>
      <c r="M47">
        <v>24.3651979088872</v>
      </c>
      <c r="N47">
        <v>0.13862989319999999</v>
      </c>
      <c r="O47">
        <v>46.371699275399997</v>
      </c>
      <c r="P47">
        <v>1245.2192406423101</v>
      </c>
      <c r="Q47">
        <v>0.1105</v>
      </c>
      <c r="R47">
        <v>0.1341</v>
      </c>
      <c r="S47">
        <v>9.7900000000000001E-2</v>
      </c>
      <c r="T47">
        <v>2.6289087000000002</v>
      </c>
      <c r="U47">
        <v>104.718242551323</v>
      </c>
      <c r="V47">
        <v>3.2673730395817699</v>
      </c>
      <c r="W47">
        <v>121.90696365888201</v>
      </c>
      <c r="X47">
        <v>229.89257924978801</v>
      </c>
      <c r="Y47">
        <v>338.15467872836598</v>
      </c>
      <c r="Z47">
        <v>559</v>
      </c>
      <c r="AA47">
        <v>0.65308965146400899</v>
      </c>
      <c r="AB47">
        <v>0.55867774191633002</v>
      </c>
      <c r="AC47" t="s">
        <v>55</v>
      </c>
      <c r="AD47">
        <v>0.65308965146400899</v>
      </c>
      <c r="AE47">
        <v>150.14046445640599</v>
      </c>
      <c r="AF47">
        <v>380.03304370619497</v>
      </c>
      <c r="AG47">
        <v>416</v>
      </c>
      <c r="AH47">
        <v>624</v>
      </c>
      <c r="AI47">
        <v>832</v>
      </c>
      <c r="AJ47">
        <v>457.6</v>
      </c>
      <c r="AK47">
        <v>686.4</v>
      </c>
      <c r="AL47">
        <v>915.2</v>
      </c>
      <c r="AM47">
        <f>Table1[[#This Row],[gross_cost]]-Table1[[#This Row],[CCR_single_base]]</f>
        <v>-35.966956293805026</v>
      </c>
      <c r="AN47">
        <f>Table1[[#This Row],[gross_cost]]-Table1[[#This Row],[CCR_couple_base]]</f>
        <v>-243.96695629380503</v>
      </c>
      <c r="AO47">
        <f>Table1[[#This Row],[gross_cost]]-Table1[[#This Row],[CCR_family4_rural]]</f>
        <v>-535.16695629380501</v>
      </c>
      <c r="AP47">
        <v>-77.566956293804907</v>
      </c>
      <c r="AQ47">
        <v>-306.366956293805</v>
      </c>
      <c r="AR47">
        <v>-535.16695629380501</v>
      </c>
      <c r="AS47">
        <f>Table1[[#This Row],[direct_tax]]/Table1[[#This Row],[total_exp]]</f>
        <v>3.9823064734020117E-3</v>
      </c>
      <c r="AT47">
        <f>Table1[[#This Row],[gross_cost]]/Table1[[#This Row],[total_exp]]</f>
        <v>6.5831096201390124E-3</v>
      </c>
      <c r="AU47">
        <v>-6.2303639093004202E-4</v>
      </c>
      <c r="AV47">
        <v>-4.22610939646457E-3</v>
      </c>
      <c r="AW47">
        <v>-7.8291824019990994E-3</v>
      </c>
      <c r="AX47">
        <v>-1.3436509920369401E-3</v>
      </c>
      <c r="AY47">
        <v>-5.3070312981249304E-3</v>
      </c>
      <c r="AZ47">
        <v>-9.2704116042129098E-3</v>
      </c>
    </row>
    <row r="48" spans="1:52" x14ac:dyDescent="0.2">
      <c r="A48" t="s">
        <v>61</v>
      </c>
      <c r="B48">
        <v>2023</v>
      </c>
      <c r="C48">
        <v>65</v>
      </c>
      <c r="D48" t="s">
        <v>57</v>
      </c>
      <c r="E48">
        <v>125134</v>
      </c>
      <c r="F48">
        <v>1738</v>
      </c>
      <c r="G48">
        <v>382</v>
      </c>
      <c r="H48">
        <v>30</v>
      </c>
      <c r="I48">
        <v>60312</v>
      </c>
      <c r="J48">
        <v>1.5527500000000001</v>
      </c>
      <c r="K48">
        <v>1.5549166666666601</v>
      </c>
      <c r="L48">
        <v>1119.30445982933</v>
      </c>
      <c r="M48">
        <v>19.293638458652602</v>
      </c>
      <c r="N48">
        <v>0.13862989319999999</v>
      </c>
      <c r="O48">
        <v>52.956619202399999</v>
      </c>
      <c r="P48">
        <v>1422.0440954420401</v>
      </c>
      <c r="Q48">
        <v>0.1431</v>
      </c>
      <c r="R48">
        <v>0.17380000000000001</v>
      </c>
      <c r="S48">
        <v>0.1239</v>
      </c>
      <c r="T48">
        <v>3.3270867000000002</v>
      </c>
      <c r="U48">
        <v>160.172468201577</v>
      </c>
      <c r="V48">
        <v>3.3532343641138298</v>
      </c>
      <c r="W48">
        <v>176.191263425269</v>
      </c>
      <c r="X48">
        <v>339.716965990961</v>
      </c>
      <c r="Y48">
        <v>498.54860869004602</v>
      </c>
      <c r="AB48">
        <v>0.434356638451871</v>
      </c>
      <c r="AC48" t="s">
        <v>54</v>
      </c>
      <c r="AD48">
        <v>0.434356638451871</v>
      </c>
      <c r="AE48">
        <v>147.55831937290199</v>
      </c>
      <c r="AF48">
        <v>487.27528536386302</v>
      </c>
      <c r="AG48">
        <v>528</v>
      </c>
      <c r="AH48">
        <v>792</v>
      </c>
      <c r="AI48">
        <v>1056</v>
      </c>
      <c r="AJ48">
        <v>580.79999999999995</v>
      </c>
      <c r="AK48">
        <v>871.2</v>
      </c>
      <c r="AL48">
        <v>1161.5999999999999</v>
      </c>
      <c r="AM48">
        <f>Table1[[#This Row],[gross_cost]]-Table1[[#This Row],[CCR_single_base]]</f>
        <v>-40.72471463613698</v>
      </c>
      <c r="AN48">
        <f>Table1[[#This Row],[gross_cost]]-Table1[[#This Row],[CCR_couple_base]]</f>
        <v>-304.72471463613698</v>
      </c>
      <c r="AO48">
        <f>Table1[[#This Row],[gross_cost]]-Table1[[#This Row],[CCR_family4_rural]]</f>
        <v>-674.32471463613683</v>
      </c>
      <c r="AP48">
        <v>-93.524714636136196</v>
      </c>
      <c r="AQ48">
        <v>-383.924714636136</v>
      </c>
      <c r="AR48">
        <v>-674.32471463613604</v>
      </c>
      <c r="AS48">
        <f>Table1[[#This Row],[direct_tax]]/Table1[[#This Row],[total_exp]]</f>
        <v>5.6326596032458048E-3</v>
      </c>
      <c r="AT48">
        <f>Table1[[#This Row],[gross_cost]]/Table1[[#This Row],[total_exp]]</f>
        <v>8.0792426940552962E-3</v>
      </c>
      <c r="AU48">
        <v>-6.7523402699522597E-4</v>
      </c>
      <c r="AV48">
        <v>-5.0524723875204902E-3</v>
      </c>
      <c r="AW48">
        <v>-9.4297107480457599E-3</v>
      </c>
      <c r="AX48">
        <v>-1.55068169910028E-3</v>
      </c>
      <c r="AY48">
        <v>-6.3656438956780697E-3</v>
      </c>
      <c r="AZ48">
        <v>-1.1180606092255799E-2</v>
      </c>
    </row>
    <row r="49" spans="1:52" x14ac:dyDescent="0.2">
      <c r="A49" t="s">
        <v>61</v>
      </c>
      <c r="B49">
        <v>2024</v>
      </c>
      <c r="C49">
        <v>80</v>
      </c>
      <c r="D49" t="s">
        <v>57</v>
      </c>
      <c r="E49">
        <v>129206</v>
      </c>
      <c r="F49">
        <v>1738</v>
      </c>
      <c r="G49">
        <v>382</v>
      </c>
      <c r="H49">
        <v>30</v>
      </c>
      <c r="I49">
        <v>60312</v>
      </c>
      <c r="J49">
        <v>1.34116666666666</v>
      </c>
      <c r="K49">
        <v>1.3398333333333301</v>
      </c>
      <c r="L49">
        <v>1295.8866658382001</v>
      </c>
      <c r="M49">
        <v>22.390844632416901</v>
      </c>
      <c r="N49">
        <v>0.13862989319999999</v>
      </c>
      <c r="O49">
        <v>52.956619202399999</v>
      </c>
      <c r="P49">
        <v>1422.0440954420401</v>
      </c>
      <c r="Q49">
        <v>0.17610000000000001</v>
      </c>
      <c r="R49">
        <v>0.21390000000000001</v>
      </c>
      <c r="S49">
        <v>0.1525</v>
      </c>
      <c r="T49">
        <v>4.0950825000000002</v>
      </c>
      <c r="U49">
        <v>228.205641854107</v>
      </c>
      <c r="V49">
        <v>4.7894016668739896</v>
      </c>
      <c r="W49">
        <v>216.861724554912</v>
      </c>
      <c r="X49">
        <v>449.856768075893</v>
      </c>
      <c r="Y49">
        <v>643.64042647087604</v>
      </c>
      <c r="Z49">
        <v>828</v>
      </c>
      <c r="AA49">
        <v>0.28643255760049102</v>
      </c>
      <c r="AB49">
        <v>0.31003553498740999</v>
      </c>
      <c r="AC49" t="s">
        <v>55</v>
      </c>
      <c r="AD49">
        <v>0.28643255760049102</v>
      </c>
      <c r="AE49">
        <v>128.853624633869</v>
      </c>
      <c r="AF49">
        <v>578.710392709762</v>
      </c>
      <c r="AG49">
        <v>600</v>
      </c>
      <c r="AH49">
        <v>900</v>
      </c>
      <c r="AI49">
        <v>1200</v>
      </c>
      <c r="AJ49">
        <v>720</v>
      </c>
      <c r="AK49">
        <v>1080</v>
      </c>
      <c r="AL49">
        <v>1440</v>
      </c>
      <c r="AM49">
        <f>Table1[[#This Row],[gross_cost]]-Table1[[#This Row],[CCR_single_base]]</f>
        <v>-21.289607290237996</v>
      </c>
      <c r="AN49">
        <f>Table1[[#This Row],[gross_cost]]-Table1[[#This Row],[CCR_couple_base]]</f>
        <v>-321.289607290238</v>
      </c>
      <c r="AO49">
        <f>Table1[[#This Row],[gross_cost]]-Table1[[#This Row],[CCR_family4_rural]]</f>
        <v>-861.289607290238</v>
      </c>
      <c r="AP49">
        <v>-141.289607290237</v>
      </c>
      <c r="AQ49">
        <v>-501.28960729023697</v>
      </c>
      <c r="AR49">
        <v>-861.28960729023697</v>
      </c>
      <c r="AS49">
        <f>Table1[[#This Row],[direct_tax]]/Table1[[#This Row],[total_exp]]</f>
        <v>7.458826901377719E-3</v>
      </c>
      <c r="AT49">
        <f>Table1[[#This Row],[gross_cost]]/Table1[[#This Row],[total_exp]]</f>
        <v>9.5952777674386848E-3</v>
      </c>
      <c r="AU49">
        <v>-3.5299123375509903E-4</v>
      </c>
      <c r="AV49">
        <v>-5.3271257343519901E-3</v>
      </c>
      <c r="AW49">
        <v>-1.03012602349488E-2</v>
      </c>
      <c r="AX49">
        <v>-2.3426450339938498E-3</v>
      </c>
      <c r="AY49">
        <v>-8.3116064347101299E-3</v>
      </c>
      <c r="AZ49">
        <v>-1.4280567835426399E-2</v>
      </c>
    </row>
    <row r="50" spans="1:52" x14ac:dyDescent="0.2">
      <c r="A50" t="s">
        <v>61</v>
      </c>
      <c r="B50">
        <v>2025</v>
      </c>
      <c r="C50">
        <v>0</v>
      </c>
      <c r="D50" t="s">
        <v>57</v>
      </c>
      <c r="E50">
        <v>129206</v>
      </c>
      <c r="F50">
        <v>1738</v>
      </c>
      <c r="G50">
        <v>382</v>
      </c>
      <c r="H50">
        <v>30</v>
      </c>
      <c r="I50">
        <v>60312</v>
      </c>
      <c r="J50">
        <v>1.36283333333333</v>
      </c>
      <c r="K50">
        <v>1.26558333333333</v>
      </c>
      <c r="L50">
        <v>1275.2843341078601</v>
      </c>
      <c r="M50">
        <v>23.704484098241899</v>
      </c>
      <c r="N50">
        <v>0.13862989319999999</v>
      </c>
      <c r="O50">
        <v>52.956619202399999</v>
      </c>
      <c r="P50">
        <v>1422.0440954420401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AB50">
        <v>0</v>
      </c>
      <c r="AC50" t="s">
        <v>56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f>Table1[[#This Row],[gross_cost]]-Table1[[#This Row],[CCR_single_base]]</f>
        <v>0</v>
      </c>
      <c r="AN50">
        <f>Table1[[#This Row],[gross_cost]]-Table1[[#This Row],[CCR_couple_base]]</f>
        <v>0</v>
      </c>
      <c r="AO50">
        <f>Table1[[#This Row],[gross_cost]]-Table1[[#This Row],[CCR_family4_rural]]</f>
        <v>0</v>
      </c>
      <c r="AP50">
        <v>0</v>
      </c>
      <c r="AQ50">
        <v>0</v>
      </c>
      <c r="AR50">
        <v>0</v>
      </c>
      <c r="AS50">
        <f>Table1[[#This Row],[direct_tax]]/Table1[[#This Row],[total_exp]]</f>
        <v>0</v>
      </c>
      <c r="AT50">
        <f>Table1[[#This Row],[gross_cost]]/Table1[[#This Row],[total_exp]]</f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61</v>
      </c>
      <c r="B51">
        <v>2019</v>
      </c>
      <c r="C51">
        <v>20</v>
      </c>
      <c r="D51" t="s">
        <v>58</v>
      </c>
      <c r="E51">
        <v>113961</v>
      </c>
      <c r="F51">
        <v>2549</v>
      </c>
      <c r="G51">
        <v>399</v>
      </c>
      <c r="H51">
        <v>41</v>
      </c>
      <c r="I51">
        <v>75484</v>
      </c>
      <c r="J51">
        <v>1.09033333333333</v>
      </c>
      <c r="K51">
        <v>1.1459999999999999</v>
      </c>
      <c r="L51">
        <v>2337.8171812901201</v>
      </c>
      <c r="M51">
        <v>35.776614310645698</v>
      </c>
      <c r="N51">
        <v>0.13862989319999999</v>
      </c>
      <c r="O51">
        <v>55.313327386799997</v>
      </c>
      <c r="P51">
        <v>1485.32878031774</v>
      </c>
      <c r="Q51">
        <v>4.4200000000000003E-2</v>
      </c>
      <c r="R51">
        <v>5.3699999999999998E-2</v>
      </c>
      <c r="S51">
        <v>3.9100000000000003E-2</v>
      </c>
      <c r="T51">
        <v>1.0499522999999999</v>
      </c>
      <c r="U51">
        <v>103.331519413023</v>
      </c>
      <c r="V51">
        <v>1.92120418848167</v>
      </c>
      <c r="W51">
        <v>58.076355310423601</v>
      </c>
      <c r="X51">
        <v>163.32907891192801</v>
      </c>
      <c r="Y51">
        <v>173.19288063814599</v>
      </c>
      <c r="AB51">
        <v>0.80731994884525005</v>
      </c>
      <c r="AC51" t="s">
        <v>54</v>
      </c>
      <c r="AD51">
        <v>0.80731994884525005</v>
      </c>
      <c r="AE51">
        <v>131.85882363211999</v>
      </c>
      <c r="AF51">
        <v>295.187902544049</v>
      </c>
      <c r="AG51">
        <v>170</v>
      </c>
      <c r="AH51">
        <v>255</v>
      </c>
      <c r="AI51">
        <v>339</v>
      </c>
      <c r="AJ51">
        <v>187</v>
      </c>
      <c r="AK51">
        <v>280.5</v>
      </c>
      <c r="AL51">
        <v>372.9</v>
      </c>
      <c r="AM51">
        <f>Table1[[#This Row],[gross_cost]]-Table1[[#This Row],[CCR_single_base]]</f>
        <v>125.187902544049</v>
      </c>
      <c r="AN51">
        <f>Table1[[#This Row],[gross_cost]]-Table1[[#This Row],[CCR_couple_base]]</f>
        <v>40.187902544048995</v>
      </c>
      <c r="AO51">
        <f>Table1[[#This Row],[gross_cost]]-Table1[[#This Row],[CCR_family4_rural]]</f>
        <v>-77.712097455950982</v>
      </c>
      <c r="AP51">
        <v>108.187902544049</v>
      </c>
      <c r="AQ51">
        <v>14.6879025440492</v>
      </c>
      <c r="AR51">
        <v>-77.712097455950797</v>
      </c>
      <c r="AS51">
        <f>Table1[[#This Row],[direct_tax]]/Table1[[#This Row],[total_exp]]</f>
        <v>2.1637576030937417E-3</v>
      </c>
      <c r="AT51">
        <f>Table1[[#This Row],[gross_cost]]/Table1[[#This Row],[total_exp]]</f>
        <v>3.9106022805369218E-3</v>
      </c>
      <c r="AU51">
        <v>1.6584693782000001E-3</v>
      </c>
      <c r="AV51">
        <v>5.32402927031546E-4</v>
      </c>
      <c r="AW51">
        <v>-5.8041568353493095E-4</v>
      </c>
      <c r="AX51">
        <v>1.43325608796631E-3</v>
      </c>
      <c r="AY51">
        <v>1.9458299168100801E-4</v>
      </c>
      <c r="AZ51">
        <v>-1.0295174799421099E-3</v>
      </c>
    </row>
    <row r="52" spans="1:52" x14ac:dyDescent="0.2">
      <c r="A52" t="s">
        <v>61</v>
      </c>
      <c r="B52">
        <v>2020</v>
      </c>
      <c r="C52">
        <v>30</v>
      </c>
      <c r="D52" t="s">
        <v>58</v>
      </c>
      <c r="E52">
        <v>109393</v>
      </c>
      <c r="F52">
        <v>2535.5</v>
      </c>
      <c r="G52">
        <v>425</v>
      </c>
      <c r="H52">
        <v>66</v>
      </c>
      <c r="I52">
        <v>77806.5</v>
      </c>
      <c r="J52">
        <v>0.93674999999999997</v>
      </c>
      <c r="K52">
        <v>0.95808333333333295</v>
      </c>
      <c r="L52">
        <v>2706.6986922871602</v>
      </c>
      <c r="M52">
        <v>68.887535878924893</v>
      </c>
      <c r="N52">
        <v>0.13862989319999999</v>
      </c>
      <c r="O52">
        <v>58.917704609999902</v>
      </c>
      <c r="P52">
        <v>1582.11712189233</v>
      </c>
      <c r="Q52">
        <v>6.6299999999999998E-2</v>
      </c>
      <c r="R52">
        <v>8.0500000000000002E-2</v>
      </c>
      <c r="S52">
        <v>5.8700000000000002E-2</v>
      </c>
      <c r="T52">
        <v>1.5762711</v>
      </c>
      <c r="U52">
        <v>179.454123298638</v>
      </c>
      <c r="V52">
        <v>5.5454466382534502</v>
      </c>
      <c r="W52">
        <v>92.870275055079702</v>
      </c>
      <c r="X52">
        <v>277.869844991972</v>
      </c>
      <c r="Y52">
        <v>274.03887187305497</v>
      </c>
      <c r="AB52">
        <v>0.724439213202277</v>
      </c>
      <c r="AC52" t="s">
        <v>54</v>
      </c>
      <c r="AD52">
        <v>0.724439213202277</v>
      </c>
      <c r="AE52">
        <v>201.29981187862299</v>
      </c>
      <c r="AF52">
        <v>479.16965687059502</v>
      </c>
      <c r="AG52">
        <v>243</v>
      </c>
      <c r="AH52">
        <v>364</v>
      </c>
      <c r="AI52">
        <v>486</v>
      </c>
      <c r="AJ52">
        <v>267.3</v>
      </c>
      <c r="AK52">
        <v>400.4</v>
      </c>
      <c r="AL52">
        <v>534.6</v>
      </c>
      <c r="AM52">
        <f>Table1[[#This Row],[gross_cost]]-Table1[[#This Row],[CCR_single_base]]</f>
        <v>236.16965687059502</v>
      </c>
      <c r="AN52">
        <f>Table1[[#This Row],[gross_cost]]-Table1[[#This Row],[CCR_couple_base]]</f>
        <v>115.16965687059502</v>
      </c>
      <c r="AO52">
        <f>Table1[[#This Row],[gross_cost]]-Table1[[#This Row],[CCR_family4_rural]]</f>
        <v>-55.430343129405003</v>
      </c>
      <c r="AP52">
        <v>211.86965687059501</v>
      </c>
      <c r="AQ52">
        <v>78.769656870595298</v>
      </c>
      <c r="AR52">
        <v>-55.430343129404598</v>
      </c>
      <c r="AS52">
        <f>Table1[[#This Row],[direct_tax]]/Table1[[#This Row],[total_exp]]</f>
        <v>3.5712934650957442E-3</v>
      </c>
      <c r="AT52">
        <f>Table1[[#This Row],[gross_cost]]/Table1[[#This Row],[total_exp]]</f>
        <v>6.1584784930641401E-3</v>
      </c>
      <c r="AU52">
        <v>3.0353461069524399E-3</v>
      </c>
      <c r="AV52">
        <v>1.4802061122219201E-3</v>
      </c>
      <c r="AW52" s="1">
        <v>-8.77862791592558E-5</v>
      </c>
      <c r="AX52">
        <v>2.7230328683412702E-3</v>
      </c>
      <c r="AY52">
        <v>1.0123788741376999E-3</v>
      </c>
      <c r="AZ52">
        <v>-7.1241275638159597E-4</v>
      </c>
    </row>
    <row r="53" spans="1:52" x14ac:dyDescent="0.2">
      <c r="A53" t="s">
        <v>61</v>
      </c>
      <c r="B53">
        <v>2021</v>
      </c>
      <c r="C53">
        <v>40</v>
      </c>
      <c r="D53" t="s">
        <v>58</v>
      </c>
      <c r="E53">
        <v>112945</v>
      </c>
      <c r="F53">
        <v>2522</v>
      </c>
      <c r="G53">
        <v>451</v>
      </c>
      <c r="H53">
        <v>91</v>
      </c>
      <c r="I53">
        <v>80129</v>
      </c>
      <c r="J53">
        <v>1.25941666666666</v>
      </c>
      <c r="K53">
        <v>1.1819166666666601</v>
      </c>
      <c r="L53">
        <v>2002.5143915834001</v>
      </c>
      <c r="M53">
        <v>76.993583868011001</v>
      </c>
      <c r="N53">
        <v>0.13862989319999999</v>
      </c>
      <c r="O53">
        <v>62.522081833199998</v>
      </c>
      <c r="P53">
        <v>1678.9054634669101</v>
      </c>
      <c r="Q53">
        <v>8.8400000000000006E-2</v>
      </c>
      <c r="R53">
        <v>0.10730000000000001</v>
      </c>
      <c r="S53">
        <v>7.8299999999999995E-2</v>
      </c>
      <c r="T53">
        <v>2.1025898999999999</v>
      </c>
      <c r="U53">
        <v>177.022272215973</v>
      </c>
      <c r="V53">
        <v>8.2614115490375806</v>
      </c>
      <c r="W53">
        <v>131.45829778945901</v>
      </c>
      <c r="X53">
        <v>316.74198155446999</v>
      </c>
      <c r="Y53">
        <v>294.12709451574398</v>
      </c>
      <c r="Z53">
        <v>462</v>
      </c>
      <c r="AA53">
        <v>0.57074954539854506</v>
      </c>
      <c r="AB53">
        <v>0.64155847755930395</v>
      </c>
      <c r="AC53" t="s">
        <v>55</v>
      </c>
      <c r="AD53">
        <v>0.57074954539854506</v>
      </c>
      <c r="AE53">
        <v>180.78034198084799</v>
      </c>
      <c r="AF53">
        <v>497.52232353531798</v>
      </c>
      <c r="AG53">
        <v>360</v>
      </c>
      <c r="AH53">
        <v>540</v>
      </c>
      <c r="AI53">
        <v>720</v>
      </c>
      <c r="AJ53">
        <v>396</v>
      </c>
      <c r="AK53">
        <v>594</v>
      </c>
      <c r="AL53">
        <v>792</v>
      </c>
      <c r="AM53">
        <f>Table1[[#This Row],[gross_cost]]-Table1[[#This Row],[CCR_single_base]]</f>
        <v>137.52232353531798</v>
      </c>
      <c r="AN53">
        <f>Table1[[#This Row],[gross_cost]]-Table1[[#This Row],[CCR_couple_base]]</f>
        <v>-42.47767646468202</v>
      </c>
      <c r="AO53">
        <f>Table1[[#This Row],[gross_cost]]-Table1[[#This Row],[CCR_family4_rural]]</f>
        <v>-294.47767646468202</v>
      </c>
      <c r="AP53">
        <v>101.52232353531799</v>
      </c>
      <c r="AQ53">
        <v>-96.477676464681096</v>
      </c>
      <c r="AR53">
        <v>-294.477676464681</v>
      </c>
      <c r="AS53">
        <f>Table1[[#This Row],[direct_tax]]/Table1[[#This Row],[total_exp]]</f>
        <v>3.9529007170246728E-3</v>
      </c>
      <c r="AT53">
        <f>Table1[[#This Row],[gross_cost]]/Table1[[#This Row],[total_exp]]</f>
        <v>6.209017004272086E-3</v>
      </c>
      <c r="AU53">
        <v>1.71626157240598E-3</v>
      </c>
      <c r="AV53">
        <v>-5.3011614352707604E-4</v>
      </c>
      <c r="AW53">
        <v>-2.7764938594601299E-3</v>
      </c>
      <c r="AX53">
        <v>1.2669860292193599E-3</v>
      </c>
      <c r="AY53">
        <v>-1.2040294583069899E-3</v>
      </c>
      <c r="AZ53">
        <v>-3.6750449458333501E-3</v>
      </c>
    </row>
    <row r="54" spans="1:52" x14ac:dyDescent="0.2">
      <c r="A54" t="s">
        <v>61</v>
      </c>
      <c r="B54">
        <v>2022</v>
      </c>
      <c r="C54">
        <v>50</v>
      </c>
      <c r="D54" t="s">
        <v>58</v>
      </c>
      <c r="E54">
        <v>110352</v>
      </c>
      <c r="F54">
        <v>2684.5</v>
      </c>
      <c r="G54">
        <v>380</v>
      </c>
      <c r="H54">
        <v>72</v>
      </c>
      <c r="I54">
        <v>79072.5</v>
      </c>
      <c r="J54">
        <v>1.70891666666666</v>
      </c>
      <c r="K54">
        <v>1.7853333333333301</v>
      </c>
      <c r="L54">
        <v>1570.87823669966</v>
      </c>
      <c r="M54">
        <v>40.328603435399501</v>
      </c>
      <c r="N54">
        <v>0.13862989319999999</v>
      </c>
      <c r="O54">
        <v>52.679359415999997</v>
      </c>
      <c r="P54">
        <v>1414.5988383978399</v>
      </c>
      <c r="Q54">
        <v>0.1105</v>
      </c>
      <c r="R54">
        <v>0.1341</v>
      </c>
      <c r="S54">
        <v>9.7900000000000001E-2</v>
      </c>
      <c r="T54">
        <v>2.6289087000000002</v>
      </c>
      <c r="U54">
        <v>173.58204515531199</v>
      </c>
      <c r="V54">
        <v>5.4080657206870804</v>
      </c>
      <c r="W54">
        <v>138.48922627914899</v>
      </c>
      <c r="X54">
        <v>317.47933715514898</v>
      </c>
      <c r="Y54">
        <v>338.15467872836598</v>
      </c>
      <c r="Z54">
        <v>559</v>
      </c>
      <c r="AA54">
        <v>0.65308965146400899</v>
      </c>
      <c r="AB54">
        <v>0.55867774191633002</v>
      </c>
      <c r="AC54" t="s">
        <v>55</v>
      </c>
      <c r="AD54">
        <v>0.65308965146400899</v>
      </c>
      <c r="AE54">
        <v>207.34246964968099</v>
      </c>
      <c r="AF54">
        <v>524.82180680482998</v>
      </c>
      <c r="AG54">
        <v>416</v>
      </c>
      <c r="AH54">
        <v>624</v>
      </c>
      <c r="AI54">
        <v>832</v>
      </c>
      <c r="AJ54">
        <v>457.6</v>
      </c>
      <c r="AK54">
        <v>686.4</v>
      </c>
      <c r="AL54">
        <v>915.2</v>
      </c>
      <c r="AM54">
        <f>Table1[[#This Row],[gross_cost]]-Table1[[#This Row],[CCR_single_base]]</f>
        <v>108.82180680482998</v>
      </c>
      <c r="AN54">
        <f>Table1[[#This Row],[gross_cost]]-Table1[[#This Row],[CCR_couple_base]]</f>
        <v>-99.178193195170024</v>
      </c>
      <c r="AO54">
        <f>Table1[[#This Row],[gross_cost]]-Table1[[#This Row],[CCR_family4_rural]]</f>
        <v>-390.37819319517007</v>
      </c>
      <c r="AP54">
        <v>67.221806804830393</v>
      </c>
      <c r="AQ54">
        <v>-161.57819319516901</v>
      </c>
      <c r="AR54">
        <v>-390.37819319516899</v>
      </c>
      <c r="AS54">
        <f>Table1[[#This Row],[direct_tax]]/Table1[[#This Row],[total_exp]]</f>
        <v>4.015041097159556E-3</v>
      </c>
      <c r="AT54">
        <f>Table1[[#This Row],[gross_cost]]/Table1[[#This Row],[total_exp]]</f>
        <v>6.6372228879171642E-3</v>
      </c>
      <c r="AU54">
        <v>1.3762282311148601E-3</v>
      </c>
      <c r="AV54">
        <v>-1.2542690972862801E-3</v>
      </c>
      <c r="AW54">
        <v>-3.8847664256874302E-3</v>
      </c>
      <c r="AX54">
        <v>8.5012876543463702E-4</v>
      </c>
      <c r="AY54">
        <v>-2.0434182958066201E-3</v>
      </c>
      <c r="AZ54">
        <v>-4.9369653570478901E-3</v>
      </c>
    </row>
    <row r="55" spans="1:52" x14ac:dyDescent="0.2">
      <c r="A55" t="s">
        <v>61</v>
      </c>
      <c r="B55">
        <v>2023</v>
      </c>
      <c r="C55">
        <v>65</v>
      </c>
      <c r="D55" t="s">
        <v>58</v>
      </c>
      <c r="E55">
        <v>125262</v>
      </c>
      <c r="F55">
        <v>2847</v>
      </c>
      <c r="G55">
        <v>309</v>
      </c>
      <c r="H55">
        <v>53</v>
      </c>
      <c r="I55">
        <v>78016</v>
      </c>
      <c r="J55">
        <v>1.5527500000000001</v>
      </c>
      <c r="K55">
        <v>1.5549166666666601</v>
      </c>
      <c r="L55">
        <v>1833.5211721139899</v>
      </c>
      <c r="M55">
        <v>34.085427943619699</v>
      </c>
      <c r="N55">
        <v>0.13862989319999999</v>
      </c>
      <c r="O55">
        <v>42.836636998799897</v>
      </c>
      <c r="P55">
        <v>1150.29221332877</v>
      </c>
      <c r="Q55">
        <v>0.1431</v>
      </c>
      <c r="R55">
        <v>0.17380000000000001</v>
      </c>
      <c r="S55">
        <v>0.1239</v>
      </c>
      <c r="T55">
        <v>3.3270867000000002</v>
      </c>
      <c r="U55">
        <v>262.37687972951198</v>
      </c>
      <c r="V55">
        <v>5.9240473766011004</v>
      </c>
      <c r="W55">
        <v>142.521205231435</v>
      </c>
      <c r="X55">
        <v>410.822132337548</v>
      </c>
      <c r="Y55">
        <v>498.54860869004602</v>
      </c>
      <c r="AB55">
        <v>0.434356638451871</v>
      </c>
      <c r="AC55" t="s">
        <v>54</v>
      </c>
      <c r="AD55">
        <v>0.434356638451871</v>
      </c>
      <c r="AE55">
        <v>178.44332040376699</v>
      </c>
      <c r="AF55">
        <v>589.26545274131502</v>
      </c>
      <c r="AG55">
        <v>528</v>
      </c>
      <c r="AH55">
        <v>792</v>
      </c>
      <c r="AI55">
        <v>1056</v>
      </c>
      <c r="AJ55">
        <v>580.79999999999995</v>
      </c>
      <c r="AK55">
        <v>871.2</v>
      </c>
      <c r="AL55">
        <v>1161.5999999999999</v>
      </c>
      <c r="AM55">
        <f>Table1[[#This Row],[gross_cost]]-Table1[[#This Row],[CCR_single_base]]</f>
        <v>61.265452741315016</v>
      </c>
      <c r="AN55">
        <f>Table1[[#This Row],[gross_cost]]-Table1[[#This Row],[CCR_couple_base]]</f>
        <v>-202.73454725868498</v>
      </c>
      <c r="AO55">
        <f>Table1[[#This Row],[gross_cost]]-Table1[[#This Row],[CCR_family4_rural]]</f>
        <v>-572.33454725868489</v>
      </c>
      <c r="AP55">
        <v>8.4654527413158505</v>
      </c>
      <c r="AQ55">
        <v>-281.93454725868401</v>
      </c>
      <c r="AR55">
        <v>-572.33454725868398</v>
      </c>
      <c r="AS55">
        <f>Table1[[#This Row],[direct_tax]]/Table1[[#This Row],[total_exp]]</f>
        <v>5.2658702360739848E-3</v>
      </c>
      <c r="AT55">
        <f>Table1[[#This Row],[gross_cost]]/Table1[[#This Row],[total_exp]]</f>
        <v>7.5531359303388406E-3</v>
      </c>
      <c r="AU55">
        <v>7.8529343649143604E-4</v>
      </c>
      <c r="AV55">
        <v>-2.59862781043227E-3</v>
      </c>
      <c r="AW55">
        <v>-5.98254905735597E-3</v>
      </c>
      <c r="AX55">
        <v>1.08509187106694E-4</v>
      </c>
      <c r="AY55">
        <v>-3.61380418450938E-3</v>
      </c>
      <c r="AZ55">
        <v>-7.3361175561254604E-3</v>
      </c>
    </row>
    <row r="56" spans="1:52" x14ac:dyDescent="0.2">
      <c r="A56" t="s">
        <v>61</v>
      </c>
      <c r="B56">
        <v>2024</v>
      </c>
      <c r="C56">
        <v>80</v>
      </c>
      <c r="D56" t="s">
        <v>58</v>
      </c>
      <c r="E56">
        <v>125712</v>
      </c>
      <c r="F56">
        <v>2847</v>
      </c>
      <c r="G56">
        <v>309</v>
      </c>
      <c r="H56">
        <v>53</v>
      </c>
      <c r="I56">
        <v>78016</v>
      </c>
      <c r="J56">
        <v>1.34116666666666</v>
      </c>
      <c r="K56">
        <v>1.3398333333333301</v>
      </c>
      <c r="L56">
        <v>2122.7786752827101</v>
      </c>
      <c r="M56">
        <v>39.557158850603301</v>
      </c>
      <c r="N56">
        <v>0.13862989319999999</v>
      </c>
      <c r="O56">
        <v>42.836636998799897</v>
      </c>
      <c r="P56">
        <v>1150.29221332877</v>
      </c>
      <c r="Q56">
        <v>0.17610000000000001</v>
      </c>
      <c r="R56">
        <v>0.21390000000000001</v>
      </c>
      <c r="S56">
        <v>0.1525</v>
      </c>
      <c r="T56">
        <v>4.0950825000000002</v>
      </c>
      <c r="U56">
        <v>373.82132471728499</v>
      </c>
      <c r="V56">
        <v>8.4612762781440498</v>
      </c>
      <c r="W56">
        <v>175.419562532638</v>
      </c>
      <c r="X56">
        <v>557.70216352806801</v>
      </c>
      <c r="Y56">
        <v>643.64042647087604</v>
      </c>
      <c r="Z56">
        <v>828</v>
      </c>
      <c r="AA56">
        <v>0.28643255760049102</v>
      </c>
      <c r="AB56">
        <v>0.31003553498740999</v>
      </c>
      <c r="AC56" t="s">
        <v>55</v>
      </c>
      <c r="AD56">
        <v>0.28643255760049102</v>
      </c>
      <c r="AE56">
        <v>159.744057078672</v>
      </c>
      <c r="AF56">
        <v>717.44622060673998</v>
      </c>
      <c r="AG56">
        <v>600</v>
      </c>
      <c r="AH56">
        <v>900</v>
      </c>
      <c r="AI56">
        <v>1200</v>
      </c>
      <c r="AJ56">
        <v>720</v>
      </c>
      <c r="AK56">
        <v>1080</v>
      </c>
      <c r="AL56">
        <v>1440</v>
      </c>
      <c r="AM56">
        <f>Table1[[#This Row],[gross_cost]]-Table1[[#This Row],[CCR_single_base]]</f>
        <v>117.44622060673998</v>
      </c>
      <c r="AN56">
        <f>Table1[[#This Row],[gross_cost]]-Table1[[#This Row],[CCR_couple_base]]</f>
        <v>-182.55377939326002</v>
      </c>
      <c r="AO56">
        <f>Table1[[#This Row],[gross_cost]]-Table1[[#This Row],[CCR_family4_rural]]</f>
        <v>-722.55377939326002</v>
      </c>
      <c r="AP56">
        <v>-2.55377939325956</v>
      </c>
      <c r="AQ56">
        <v>-362.55377939325899</v>
      </c>
      <c r="AR56">
        <v>-722.55377939325899</v>
      </c>
      <c r="AS56">
        <f>Table1[[#This Row],[direct_tax]]/Table1[[#This Row],[total_exp]]</f>
        <v>7.1485613659770814E-3</v>
      </c>
      <c r="AT56">
        <f>Table1[[#This Row],[gross_cost]]/Table1[[#This Row],[total_exp]]</f>
        <v>9.196142081197959E-3</v>
      </c>
      <c r="AU56">
        <v>1.5054119745531701E-3</v>
      </c>
      <c r="AV56">
        <v>-2.33995307876922E-3</v>
      </c>
      <c r="AW56">
        <v>-6.1853181320916098E-3</v>
      </c>
      <c r="AX56" s="1">
        <v>-3.2734046775783898E-5</v>
      </c>
      <c r="AY56">
        <v>-4.6471721107626497E-3</v>
      </c>
      <c r="AZ56">
        <v>-9.2616101747495308E-3</v>
      </c>
    </row>
    <row r="57" spans="1:52" x14ac:dyDescent="0.2">
      <c r="A57" t="s">
        <v>61</v>
      </c>
      <c r="B57">
        <v>2025</v>
      </c>
      <c r="C57">
        <v>0</v>
      </c>
      <c r="D57" t="s">
        <v>58</v>
      </c>
      <c r="E57">
        <v>125712</v>
      </c>
      <c r="F57">
        <v>2847</v>
      </c>
      <c r="G57">
        <v>309</v>
      </c>
      <c r="H57">
        <v>53</v>
      </c>
      <c r="I57">
        <v>78016</v>
      </c>
      <c r="J57">
        <v>1.36283333333333</v>
      </c>
      <c r="K57">
        <v>1.26558333333333</v>
      </c>
      <c r="L57">
        <v>2089.0302066772601</v>
      </c>
      <c r="M57">
        <v>41.877921906894002</v>
      </c>
      <c r="N57">
        <v>0.13862989319999999</v>
      </c>
      <c r="O57">
        <v>42.836636998799897</v>
      </c>
      <c r="P57">
        <v>1150.29221332877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AB57">
        <v>0</v>
      </c>
      <c r="AC57" t="s">
        <v>56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f>Table1[[#This Row],[gross_cost]]-Table1[[#This Row],[CCR_single_base]]</f>
        <v>0</v>
      </c>
      <c r="AN57">
        <f>Table1[[#This Row],[gross_cost]]-Table1[[#This Row],[CCR_couple_base]]</f>
        <v>0</v>
      </c>
      <c r="AO57">
        <f>Table1[[#This Row],[gross_cost]]-Table1[[#This Row],[CCR_family4_rural]]</f>
        <v>0</v>
      </c>
      <c r="AP57">
        <v>0</v>
      </c>
      <c r="AQ57">
        <v>0</v>
      </c>
      <c r="AR57">
        <v>0</v>
      </c>
      <c r="AS57">
        <f>Table1[[#This Row],[direct_tax]]/Table1[[#This Row],[total_exp]]</f>
        <v>0</v>
      </c>
      <c r="AT57">
        <f>Table1[[#This Row],[gross_cost]]/Table1[[#This Row],[total_exp]]</f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61</v>
      </c>
      <c r="B58">
        <v>2019</v>
      </c>
      <c r="C58">
        <v>20</v>
      </c>
      <c r="D58" t="s">
        <v>59</v>
      </c>
      <c r="E58">
        <v>119770</v>
      </c>
      <c r="F58">
        <v>3171</v>
      </c>
      <c r="G58">
        <v>585</v>
      </c>
      <c r="H58">
        <v>56</v>
      </c>
      <c r="I58">
        <v>107985</v>
      </c>
      <c r="J58">
        <v>1.09033333333333</v>
      </c>
      <c r="K58">
        <v>1.1459999999999999</v>
      </c>
      <c r="L58">
        <v>2908.28492815652</v>
      </c>
      <c r="M58">
        <v>48.8656195462478</v>
      </c>
      <c r="N58">
        <v>0.13862989319999999</v>
      </c>
      <c r="O58">
        <v>81.098487521999999</v>
      </c>
      <c r="P58">
        <v>2177.7376854282602</v>
      </c>
      <c r="Q58">
        <v>4.4200000000000003E-2</v>
      </c>
      <c r="R58">
        <v>5.3699999999999998E-2</v>
      </c>
      <c r="S58">
        <v>3.9100000000000003E-2</v>
      </c>
      <c r="T58">
        <v>1.0499522999999999</v>
      </c>
      <c r="U58">
        <v>128.54619382451801</v>
      </c>
      <c r="V58">
        <v>2.6240837696335002</v>
      </c>
      <c r="W58">
        <v>85.149543500245201</v>
      </c>
      <c r="X58">
        <v>216.31982109439701</v>
      </c>
      <c r="Y58">
        <v>173.19288063814599</v>
      </c>
      <c r="AB58">
        <v>0.80731994884525005</v>
      </c>
      <c r="AC58" t="s">
        <v>54</v>
      </c>
      <c r="AD58">
        <v>0.80731994884525005</v>
      </c>
      <c r="AE58">
        <v>174.639306900142</v>
      </c>
      <c r="AF58">
        <v>390.95912799453902</v>
      </c>
      <c r="AG58">
        <v>170</v>
      </c>
      <c r="AH58">
        <v>255</v>
      </c>
      <c r="AI58">
        <v>339</v>
      </c>
      <c r="AJ58">
        <v>187</v>
      </c>
      <c r="AK58">
        <v>280.5</v>
      </c>
      <c r="AL58">
        <v>372.9</v>
      </c>
      <c r="AM58">
        <f>Table1[[#This Row],[gross_cost]]-Table1[[#This Row],[CCR_single_base]]</f>
        <v>220.95912799453902</v>
      </c>
      <c r="AN58">
        <f>Table1[[#This Row],[gross_cost]]-Table1[[#This Row],[CCR_couple_base]]</f>
        <v>135.95912799453902</v>
      </c>
      <c r="AO58">
        <f>Table1[[#This Row],[gross_cost]]-Table1[[#This Row],[CCR_family4_rural]]</f>
        <v>18.05912799453904</v>
      </c>
      <c r="AP58">
        <v>203.95912799453899</v>
      </c>
      <c r="AQ58">
        <v>110.459127994539</v>
      </c>
      <c r="AR58">
        <v>18.059127994539701</v>
      </c>
      <c r="AS58">
        <f>Table1[[#This Row],[direct_tax]]/Table1[[#This Row],[total_exp]]</f>
        <v>2.0032395341426775E-3</v>
      </c>
      <c r="AT58">
        <f>Table1[[#This Row],[gross_cost]]/Table1[[#This Row],[total_exp]]</f>
        <v>3.6204947723715241E-3</v>
      </c>
      <c r="AU58">
        <v>2.04620204652997E-3</v>
      </c>
      <c r="AV58">
        <v>1.2590556836092001E-3</v>
      </c>
      <c r="AW58">
        <v>4.8116986613455399E-4</v>
      </c>
      <c r="AX58">
        <v>1.8887727739458199E-3</v>
      </c>
      <c r="AY58">
        <v>1.0229117747329701E-3</v>
      </c>
      <c r="AZ58">
        <v>1.6723737551085501E-4</v>
      </c>
    </row>
    <row r="59" spans="1:52" x14ac:dyDescent="0.2">
      <c r="A59" t="s">
        <v>61</v>
      </c>
      <c r="B59">
        <v>2020</v>
      </c>
      <c r="C59">
        <v>30</v>
      </c>
      <c r="D59" t="s">
        <v>59</v>
      </c>
      <c r="E59">
        <v>113599</v>
      </c>
      <c r="F59">
        <v>2921.5</v>
      </c>
      <c r="G59">
        <v>550.5</v>
      </c>
      <c r="H59">
        <v>69.5</v>
      </c>
      <c r="I59">
        <v>104323.5</v>
      </c>
      <c r="J59">
        <v>0.93674999999999997</v>
      </c>
      <c r="K59">
        <v>0.95808333333333295</v>
      </c>
      <c r="L59">
        <v>3118.7616760074702</v>
      </c>
      <c r="M59">
        <v>72.540662781595103</v>
      </c>
      <c r="N59">
        <v>0.13862989319999999</v>
      </c>
      <c r="O59">
        <v>76.3157562066</v>
      </c>
      <c r="P59">
        <v>2049.3070014158202</v>
      </c>
      <c r="Q59">
        <v>6.6299999999999998E-2</v>
      </c>
      <c r="R59">
        <v>8.0500000000000002E-2</v>
      </c>
      <c r="S59">
        <v>5.8700000000000002E-2</v>
      </c>
      <c r="T59">
        <v>1.5762711</v>
      </c>
      <c r="U59">
        <v>206.77389911929501</v>
      </c>
      <c r="V59">
        <v>5.8395233539184099</v>
      </c>
      <c r="W59">
        <v>120.294320983109</v>
      </c>
      <c r="X59">
        <v>332.90774345632298</v>
      </c>
      <c r="Y59">
        <v>274.03887187305497</v>
      </c>
      <c r="AB59">
        <v>0.724439213202277</v>
      </c>
      <c r="AC59" t="s">
        <v>54</v>
      </c>
      <c r="AD59">
        <v>0.724439213202277</v>
      </c>
      <c r="AE59">
        <v>241.17142373844399</v>
      </c>
      <c r="AF59">
        <v>574.07916719476702</v>
      </c>
      <c r="AG59">
        <v>243</v>
      </c>
      <c r="AH59">
        <v>364</v>
      </c>
      <c r="AI59">
        <v>486</v>
      </c>
      <c r="AJ59">
        <v>267.3</v>
      </c>
      <c r="AK59">
        <v>400.4</v>
      </c>
      <c r="AL59">
        <v>534.6</v>
      </c>
      <c r="AM59">
        <f>Table1[[#This Row],[gross_cost]]-Table1[[#This Row],[CCR_single_base]]</f>
        <v>331.07916719476702</v>
      </c>
      <c r="AN59">
        <f>Table1[[#This Row],[gross_cost]]-Table1[[#This Row],[CCR_couple_base]]</f>
        <v>210.07916719476702</v>
      </c>
      <c r="AO59">
        <f>Table1[[#This Row],[gross_cost]]-Table1[[#This Row],[CCR_family4_rural]]</f>
        <v>39.479167194767001</v>
      </c>
      <c r="AP59">
        <v>306.77916719476701</v>
      </c>
      <c r="AQ59">
        <v>173.67916719476699</v>
      </c>
      <c r="AR59">
        <v>39.479167194767399</v>
      </c>
      <c r="AS59">
        <f>Table1[[#This Row],[direct_tax]]/Table1[[#This Row],[total_exp]]</f>
        <v>3.1911098022624142E-3</v>
      </c>
      <c r="AT59">
        <f>Table1[[#This Row],[gross_cost]]/Table1[[#This Row],[total_exp]]</f>
        <v>5.5028748766554709E-3</v>
      </c>
      <c r="AU59">
        <v>3.1735818602210098E-3</v>
      </c>
      <c r="AV59">
        <v>2.01372813598822E-3</v>
      </c>
      <c r="AW59">
        <v>8.44288843786562E-4</v>
      </c>
      <c r="AX59">
        <v>2.9406525585775698E-3</v>
      </c>
      <c r="AY59">
        <v>1.66481346192149E-3</v>
      </c>
      <c r="AZ59">
        <v>3.7843024049967098E-4</v>
      </c>
    </row>
    <row r="60" spans="1:52" x14ac:dyDescent="0.2">
      <c r="A60" t="s">
        <v>61</v>
      </c>
      <c r="B60">
        <v>2021</v>
      </c>
      <c r="C60">
        <v>40</v>
      </c>
      <c r="D60" t="s">
        <v>59</v>
      </c>
      <c r="E60">
        <v>122750</v>
      </c>
      <c r="F60">
        <v>2672</v>
      </c>
      <c r="G60">
        <v>516</v>
      </c>
      <c r="H60">
        <v>83</v>
      </c>
      <c r="I60">
        <v>100662</v>
      </c>
      <c r="J60">
        <v>1.25941666666666</v>
      </c>
      <c r="K60">
        <v>1.1819166666666601</v>
      </c>
      <c r="L60">
        <v>2121.6171507973199</v>
      </c>
      <c r="M60">
        <v>70.224917154339593</v>
      </c>
      <c r="N60">
        <v>0.13862989319999999</v>
      </c>
      <c r="O60">
        <v>71.5330248912</v>
      </c>
      <c r="P60">
        <v>1920.87631740339</v>
      </c>
      <c r="Q60">
        <v>8.8400000000000006E-2</v>
      </c>
      <c r="R60">
        <v>0.10730000000000001</v>
      </c>
      <c r="S60">
        <v>7.8299999999999995E-2</v>
      </c>
      <c r="T60">
        <v>2.1025898999999999</v>
      </c>
      <c r="U60">
        <v>187.550956130483</v>
      </c>
      <c r="V60">
        <v>7.5351336106606404</v>
      </c>
      <c r="W60">
        <v>150.40461565268501</v>
      </c>
      <c r="X60">
        <v>345.49070539383001</v>
      </c>
      <c r="Y60">
        <v>294.12709451574398</v>
      </c>
      <c r="Z60">
        <v>462</v>
      </c>
      <c r="AA60">
        <v>0.57074954539854506</v>
      </c>
      <c r="AB60">
        <v>0.64155847755930395</v>
      </c>
      <c r="AC60" t="s">
        <v>55</v>
      </c>
      <c r="AD60">
        <v>0.57074954539854506</v>
      </c>
      <c r="AE60">
        <v>197.18866304295099</v>
      </c>
      <c r="AF60">
        <v>542.67936843678103</v>
      </c>
      <c r="AG60">
        <v>360</v>
      </c>
      <c r="AH60">
        <v>540</v>
      </c>
      <c r="AI60">
        <v>720</v>
      </c>
      <c r="AJ60">
        <v>396</v>
      </c>
      <c r="AK60">
        <v>594</v>
      </c>
      <c r="AL60">
        <v>792</v>
      </c>
      <c r="AM60">
        <f>Table1[[#This Row],[gross_cost]]-Table1[[#This Row],[CCR_single_base]]</f>
        <v>182.67936843678103</v>
      </c>
      <c r="AN60">
        <f>Table1[[#This Row],[gross_cost]]-Table1[[#This Row],[CCR_couple_base]]</f>
        <v>2.6793684367810329</v>
      </c>
      <c r="AO60">
        <f>Table1[[#This Row],[gross_cost]]-Table1[[#This Row],[CCR_family4_rural]]</f>
        <v>-249.32063156321897</v>
      </c>
      <c r="AP60">
        <v>146.679368436781</v>
      </c>
      <c r="AQ60">
        <v>-51.320631563218498</v>
      </c>
      <c r="AR60">
        <v>-249.320631563218</v>
      </c>
      <c r="AS60">
        <f>Table1[[#This Row],[direct_tax]]/Table1[[#This Row],[total_exp]]</f>
        <v>3.4321859827326101E-3</v>
      </c>
      <c r="AT60">
        <f>Table1[[#This Row],[gross_cost]]/Table1[[#This Row],[total_exp]]</f>
        <v>5.3911045721005049E-3</v>
      </c>
      <c r="AU60">
        <v>1.81477984181499E-3</v>
      </c>
      <c r="AV60" s="1">
        <v>2.66174766722446E-5</v>
      </c>
      <c r="AW60">
        <v>-1.7615448884705099E-3</v>
      </c>
      <c r="AX60">
        <v>1.45714736878644E-3</v>
      </c>
      <c r="AY60">
        <v>-5.0983123287058098E-4</v>
      </c>
      <c r="AZ60">
        <v>-2.4768098345276102E-3</v>
      </c>
    </row>
    <row r="61" spans="1:52" x14ac:dyDescent="0.2">
      <c r="A61" t="s">
        <v>61</v>
      </c>
      <c r="B61">
        <v>2022</v>
      </c>
      <c r="C61">
        <v>50</v>
      </c>
      <c r="D61" t="s">
        <v>59</v>
      </c>
      <c r="E61">
        <v>117483</v>
      </c>
      <c r="F61">
        <v>3323.5</v>
      </c>
      <c r="G61">
        <v>527</v>
      </c>
      <c r="H61">
        <v>72.5</v>
      </c>
      <c r="I61">
        <v>104959.5</v>
      </c>
      <c r="J61">
        <v>1.70891666666666</v>
      </c>
      <c r="K61">
        <v>1.7853333333333301</v>
      </c>
      <c r="L61">
        <v>1944.79933681182</v>
      </c>
      <c r="M61">
        <v>40.608663181478697</v>
      </c>
      <c r="N61">
        <v>0.13862989319999999</v>
      </c>
      <c r="O61">
        <v>73.057953716399993</v>
      </c>
      <c r="P61">
        <v>1961.8252311464801</v>
      </c>
      <c r="Q61">
        <v>0.1105</v>
      </c>
      <c r="R61">
        <v>0.1341</v>
      </c>
      <c r="S61">
        <v>9.7900000000000001E-2</v>
      </c>
      <c r="T61">
        <v>2.6289087000000002</v>
      </c>
      <c r="U61">
        <v>214.90032671770601</v>
      </c>
      <c r="V61">
        <v>5.4456217326362903</v>
      </c>
      <c r="W61">
        <v>192.06269012924099</v>
      </c>
      <c r="X61">
        <v>412.408638579583</v>
      </c>
      <c r="Y61">
        <v>338.15467872836598</v>
      </c>
      <c r="Z61">
        <v>559</v>
      </c>
      <c r="AA61">
        <v>0.65308965146400899</v>
      </c>
      <c r="AB61">
        <v>0.55867774191633002</v>
      </c>
      <c r="AC61" t="s">
        <v>55</v>
      </c>
      <c r="AD61">
        <v>0.65308965146400899</v>
      </c>
      <c r="AE61">
        <v>269.339814030686</v>
      </c>
      <c r="AF61">
        <v>681.74845261026996</v>
      </c>
      <c r="AG61">
        <v>416</v>
      </c>
      <c r="AH61">
        <v>624</v>
      </c>
      <c r="AI61">
        <v>832</v>
      </c>
      <c r="AJ61">
        <v>457.6</v>
      </c>
      <c r="AK61">
        <v>686.4</v>
      </c>
      <c r="AL61">
        <v>915.2</v>
      </c>
      <c r="AM61">
        <f>Table1[[#This Row],[gross_cost]]-Table1[[#This Row],[CCR_single_base]]</f>
        <v>265.74845261026996</v>
      </c>
      <c r="AN61">
        <f>Table1[[#This Row],[gross_cost]]-Table1[[#This Row],[CCR_couple_base]]</f>
        <v>57.748452610269965</v>
      </c>
      <c r="AO61">
        <f>Table1[[#This Row],[gross_cost]]-Table1[[#This Row],[CCR_family4_rural]]</f>
        <v>-233.45154738973008</v>
      </c>
      <c r="AP61">
        <v>224.14845261027</v>
      </c>
      <c r="AQ61">
        <v>-4.6515473897293296</v>
      </c>
      <c r="AR61">
        <v>-233.451547389729</v>
      </c>
      <c r="AS61">
        <f>Table1[[#This Row],[direct_tax]]/Table1[[#This Row],[total_exp]]</f>
        <v>3.9292168748858653E-3</v>
      </c>
      <c r="AT61">
        <f>Table1[[#This Row],[gross_cost]]/Table1[[#This Row],[total_exp]]</f>
        <v>6.4953477542315846E-3</v>
      </c>
      <c r="AU61">
        <v>2.5319142393996799E-3</v>
      </c>
      <c r="AV61">
        <v>5.5019748198372397E-4</v>
      </c>
      <c r="AW61">
        <v>-1.43151927543223E-3</v>
      </c>
      <c r="AX61">
        <v>2.1355708879164802E-3</v>
      </c>
      <c r="AY61" s="1">
        <v>-4.4317545241062697E-5</v>
      </c>
      <c r="AZ61">
        <v>-2.2242059783986099E-3</v>
      </c>
    </row>
    <row r="62" spans="1:52" x14ac:dyDescent="0.2">
      <c r="A62" t="s">
        <v>61</v>
      </c>
      <c r="B62">
        <v>2023</v>
      </c>
      <c r="C62">
        <v>65</v>
      </c>
      <c r="D62" t="s">
        <v>59</v>
      </c>
      <c r="E62">
        <v>127131</v>
      </c>
      <c r="F62">
        <v>3975</v>
      </c>
      <c r="G62">
        <v>538</v>
      </c>
      <c r="H62">
        <v>62</v>
      </c>
      <c r="I62">
        <v>109257</v>
      </c>
      <c r="J62">
        <v>1.5527500000000001</v>
      </c>
      <c r="K62">
        <v>1.5549166666666601</v>
      </c>
      <c r="L62">
        <v>2559.9742392529301</v>
      </c>
      <c r="M62">
        <v>39.873519481215403</v>
      </c>
      <c r="N62">
        <v>0.13862989319999999</v>
      </c>
      <c r="O62">
        <v>74.5828825416</v>
      </c>
      <c r="P62">
        <v>2002.7741448895799</v>
      </c>
      <c r="Q62">
        <v>0.1431</v>
      </c>
      <c r="R62">
        <v>0.17380000000000001</v>
      </c>
      <c r="S62">
        <v>0.1239</v>
      </c>
      <c r="T62">
        <v>3.3270867000000002</v>
      </c>
      <c r="U62">
        <v>366.33231363709501</v>
      </c>
      <c r="V62">
        <v>6.9300176858352502</v>
      </c>
      <c r="W62">
        <v>248.14371655181901</v>
      </c>
      <c r="X62">
        <v>621.40604787475002</v>
      </c>
      <c r="Y62">
        <v>498.54860869004602</v>
      </c>
      <c r="AB62">
        <v>0.434356638451871</v>
      </c>
      <c r="AC62" t="s">
        <v>54</v>
      </c>
      <c r="AD62">
        <v>0.434356638451871</v>
      </c>
      <c r="AE62">
        <v>269.91184206853899</v>
      </c>
      <c r="AF62">
        <v>891.31788994328895</v>
      </c>
      <c r="AG62">
        <v>528</v>
      </c>
      <c r="AH62">
        <v>792</v>
      </c>
      <c r="AI62">
        <v>1056</v>
      </c>
      <c r="AJ62">
        <v>580.79999999999995</v>
      </c>
      <c r="AK62">
        <v>871.2</v>
      </c>
      <c r="AL62">
        <v>1161.5999999999999</v>
      </c>
      <c r="AM62">
        <f>Table1[[#This Row],[gross_cost]]-Table1[[#This Row],[CCR_single_base]]</f>
        <v>363.31788994328895</v>
      </c>
      <c r="AN62">
        <f>Table1[[#This Row],[gross_cost]]-Table1[[#This Row],[CCR_couple_base]]</f>
        <v>99.317889943288947</v>
      </c>
      <c r="AO62">
        <f>Table1[[#This Row],[gross_cost]]-Table1[[#This Row],[CCR_family4_rural]]</f>
        <v>-270.28211005671096</v>
      </c>
      <c r="AP62">
        <v>310.51788994328899</v>
      </c>
      <c r="AQ62">
        <v>20.117889943289299</v>
      </c>
      <c r="AR62">
        <v>-270.28211005671</v>
      </c>
      <c r="AS62">
        <f>Table1[[#This Row],[direct_tax]]/Table1[[#This Row],[total_exp]]</f>
        <v>5.6875627911689873E-3</v>
      </c>
      <c r="AT62">
        <f>Table1[[#This Row],[gross_cost]]/Table1[[#This Row],[total_exp]]</f>
        <v>8.1579934461250905E-3</v>
      </c>
      <c r="AU62">
        <v>3.3253511440300299E-3</v>
      </c>
      <c r="AV62">
        <v>9.0902999298250297E-4</v>
      </c>
      <c r="AW62">
        <v>-1.5072911580650201E-3</v>
      </c>
      <c r="AX62">
        <v>2.8420869138205199E-3</v>
      </c>
      <c r="AY62">
        <v>1.8413364766824399E-4</v>
      </c>
      <c r="AZ62">
        <v>-2.47381961848404E-3</v>
      </c>
    </row>
    <row r="63" spans="1:52" x14ac:dyDescent="0.2">
      <c r="A63" t="s">
        <v>61</v>
      </c>
      <c r="B63">
        <v>2024</v>
      </c>
      <c r="C63">
        <v>80</v>
      </c>
      <c r="D63" t="s">
        <v>59</v>
      </c>
      <c r="E63">
        <v>124212</v>
      </c>
      <c r="F63">
        <v>3975</v>
      </c>
      <c r="G63">
        <v>538</v>
      </c>
      <c r="H63">
        <v>62</v>
      </c>
      <c r="I63">
        <v>109257</v>
      </c>
      <c r="J63">
        <v>1.34116666666666</v>
      </c>
      <c r="K63">
        <v>1.3398333333333301</v>
      </c>
      <c r="L63">
        <v>2963.83745495215</v>
      </c>
      <c r="M63">
        <v>46.274412240328402</v>
      </c>
      <c r="N63">
        <v>0.13862989319999999</v>
      </c>
      <c r="O63">
        <v>74.5828825416</v>
      </c>
      <c r="P63">
        <v>2002.7741448895799</v>
      </c>
      <c r="Q63">
        <v>0.17610000000000001</v>
      </c>
      <c r="R63">
        <v>0.21390000000000001</v>
      </c>
      <c r="S63">
        <v>0.1525</v>
      </c>
      <c r="T63">
        <v>4.0950825000000002</v>
      </c>
      <c r="U63">
        <v>521.93177581707403</v>
      </c>
      <c r="V63">
        <v>9.8980967782062397</v>
      </c>
      <c r="W63">
        <v>305.42305709566102</v>
      </c>
      <c r="X63">
        <v>837.25292969094198</v>
      </c>
      <c r="Y63">
        <v>643.64042647087604</v>
      </c>
      <c r="Z63">
        <v>828</v>
      </c>
      <c r="AA63">
        <v>0.28643255760049102</v>
      </c>
      <c r="AB63">
        <v>0.31003553498740999</v>
      </c>
      <c r="AC63" t="s">
        <v>55</v>
      </c>
      <c r="AD63">
        <v>0.28643255760049102</v>
      </c>
      <c r="AE63">
        <v>239.816498009881</v>
      </c>
      <c r="AF63">
        <v>1077.0694277008199</v>
      </c>
      <c r="AG63">
        <v>600</v>
      </c>
      <c r="AH63">
        <v>900</v>
      </c>
      <c r="AI63">
        <v>1200</v>
      </c>
      <c r="AJ63">
        <v>720</v>
      </c>
      <c r="AK63">
        <v>1080</v>
      </c>
      <c r="AL63">
        <v>1440</v>
      </c>
      <c r="AM63">
        <f>Table1[[#This Row],[gross_cost]]-Table1[[#This Row],[CCR_single_base]]</f>
        <v>477.06942770081992</v>
      </c>
      <c r="AN63">
        <f>Table1[[#This Row],[gross_cost]]-Table1[[#This Row],[CCR_couple_base]]</f>
        <v>177.06942770081992</v>
      </c>
      <c r="AO63">
        <f>Table1[[#This Row],[gross_cost]]-Table1[[#This Row],[CCR_family4_rural]]</f>
        <v>-362.93057229918008</v>
      </c>
      <c r="AP63">
        <v>357.06942770082298</v>
      </c>
      <c r="AQ63">
        <v>-2.9305722991762102</v>
      </c>
      <c r="AR63">
        <v>-362.93057229917599</v>
      </c>
      <c r="AS63">
        <f>Table1[[#This Row],[direct_tax]]/Table1[[#This Row],[total_exp]]</f>
        <v>7.6631513741997493E-3</v>
      </c>
      <c r="AT63">
        <f>Table1[[#This Row],[gross_cost]]/Table1[[#This Row],[total_exp]]</f>
        <v>9.8581274215914765E-3</v>
      </c>
      <c r="AU63">
        <v>4.3664884419380304E-3</v>
      </c>
      <c r="AV63">
        <v>1.62066895211129E-3</v>
      </c>
      <c r="AW63">
        <v>-1.12515053771544E-3</v>
      </c>
      <c r="AX63">
        <v>3.2681606460073301E-3</v>
      </c>
      <c r="AY63" s="1">
        <v>-2.6822741784748001E-5</v>
      </c>
      <c r="AZ63">
        <v>-3.3218061295768298E-3</v>
      </c>
    </row>
    <row r="64" spans="1:52" x14ac:dyDescent="0.2">
      <c r="A64" t="s">
        <v>61</v>
      </c>
      <c r="B64">
        <v>2025</v>
      </c>
      <c r="C64">
        <v>0</v>
      </c>
      <c r="D64" t="s">
        <v>59</v>
      </c>
      <c r="E64">
        <v>124212</v>
      </c>
      <c r="F64">
        <v>3975</v>
      </c>
      <c r="G64">
        <v>538</v>
      </c>
      <c r="H64">
        <v>62</v>
      </c>
      <c r="I64">
        <v>109257</v>
      </c>
      <c r="J64">
        <v>1.36283333333333</v>
      </c>
      <c r="K64">
        <v>1.26558333333333</v>
      </c>
      <c r="L64">
        <v>2916.7176225999701</v>
      </c>
      <c r="M64">
        <v>48.9892671363666</v>
      </c>
      <c r="N64">
        <v>0.13862989319999999</v>
      </c>
      <c r="O64">
        <v>74.5828825416</v>
      </c>
      <c r="P64">
        <v>2002.7741448895799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AB64">
        <v>0</v>
      </c>
      <c r="AC64" t="s">
        <v>56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f>Table1[[#This Row],[gross_cost]]-Table1[[#This Row],[CCR_single_base]]</f>
        <v>0</v>
      </c>
      <c r="AN64">
        <f>Table1[[#This Row],[gross_cost]]-Table1[[#This Row],[CCR_couple_base]]</f>
        <v>0</v>
      </c>
      <c r="AO64">
        <f>Table1[[#This Row],[gross_cost]]-Table1[[#This Row],[CCR_family4_rural]]</f>
        <v>0</v>
      </c>
      <c r="AP64">
        <v>0</v>
      </c>
      <c r="AQ64">
        <v>0</v>
      </c>
      <c r="AR64">
        <v>0</v>
      </c>
      <c r="AS64">
        <f>Table1[[#This Row],[direct_tax]]/Table1[[#This Row],[total_exp]]</f>
        <v>0</v>
      </c>
      <c r="AT64">
        <f>Table1[[#This Row],[gross_cost]]/Table1[[#This Row],[total_exp]]</f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">
      <c r="A65" t="s">
        <v>61</v>
      </c>
      <c r="B65">
        <v>2019</v>
      </c>
      <c r="C65">
        <v>20</v>
      </c>
      <c r="D65" t="s">
        <v>60</v>
      </c>
      <c r="E65">
        <v>98465</v>
      </c>
      <c r="F65">
        <v>4314</v>
      </c>
      <c r="G65">
        <v>781</v>
      </c>
      <c r="H65">
        <v>64</v>
      </c>
      <c r="I65">
        <v>175440</v>
      </c>
      <c r="J65">
        <v>1.09033333333333</v>
      </c>
      <c r="K65">
        <v>1.1459999999999999</v>
      </c>
      <c r="L65">
        <v>3956.5881993274202</v>
      </c>
      <c r="M65">
        <v>55.8464223385689</v>
      </c>
      <c r="N65">
        <v>0.13862989319999999</v>
      </c>
      <c r="O65">
        <v>108.26994658919899</v>
      </c>
      <c r="P65">
        <v>2907.3728757597801</v>
      </c>
      <c r="Q65">
        <v>4.4200000000000003E-2</v>
      </c>
      <c r="R65">
        <v>5.3699999999999998E-2</v>
      </c>
      <c r="S65">
        <v>3.9100000000000003E-2</v>
      </c>
      <c r="T65">
        <v>1.0499522999999999</v>
      </c>
      <c r="U65">
        <v>174.88119841027199</v>
      </c>
      <c r="V65">
        <v>2.9989528795811502</v>
      </c>
      <c r="W65">
        <v>113.678279442207</v>
      </c>
      <c r="X65">
        <v>291.55843073206</v>
      </c>
      <c r="Y65">
        <v>173.19288063814599</v>
      </c>
      <c r="AB65">
        <v>0.80731994884525005</v>
      </c>
      <c r="AC65" t="s">
        <v>54</v>
      </c>
      <c r="AD65">
        <v>0.80731994884525005</v>
      </c>
      <c r="AE65">
        <v>235.380937384009</v>
      </c>
      <c r="AF65">
        <v>526.93936811607</v>
      </c>
      <c r="AG65">
        <v>170</v>
      </c>
      <c r="AH65">
        <v>255</v>
      </c>
      <c r="AI65">
        <v>339</v>
      </c>
      <c r="AJ65">
        <v>187</v>
      </c>
      <c r="AK65">
        <v>280.5</v>
      </c>
      <c r="AL65">
        <v>372.9</v>
      </c>
      <c r="AM65">
        <f>Table1[[#This Row],[gross_cost]]-Table1[[#This Row],[CCR_single_base]]</f>
        <v>356.93936811607</v>
      </c>
      <c r="AN65">
        <f>Table1[[#This Row],[gross_cost]]-Table1[[#This Row],[CCR_couple_base]]</f>
        <v>271.93936811607</v>
      </c>
      <c r="AO65">
        <f>Table1[[#This Row],[gross_cost]]-Table1[[#This Row],[CCR_family4_rural]]</f>
        <v>154.03936811607002</v>
      </c>
      <c r="AP65">
        <v>339.93936811607</v>
      </c>
      <c r="AQ65">
        <v>246.43936811607</v>
      </c>
      <c r="AR65">
        <v>154.039368116069</v>
      </c>
      <c r="AS65">
        <f>Table1[[#This Row],[direct_tax]]/Table1[[#This Row],[total_exp]]</f>
        <v>1.6618697602146604E-3</v>
      </c>
      <c r="AT65">
        <f>Table1[[#This Row],[gross_cost]]/Table1[[#This Row],[total_exp]]</f>
        <v>3.0035303700186389E-3</v>
      </c>
      <c r="AU65">
        <v>2.0345381219566199E-3</v>
      </c>
      <c r="AV65">
        <v>1.55004199792561E-3</v>
      </c>
      <c r="AW65">
        <v>1.0712458282949699E-3</v>
      </c>
      <c r="AX65">
        <v>1.9376388971504199E-3</v>
      </c>
      <c r="AY65">
        <v>1.4046931607163101E-3</v>
      </c>
      <c r="AZ65">
        <v>8.78017374122605E-4</v>
      </c>
    </row>
    <row r="66" spans="1:52" x14ac:dyDescent="0.2">
      <c r="A66" t="s">
        <v>61</v>
      </c>
      <c r="B66">
        <v>2020</v>
      </c>
      <c r="C66">
        <v>30</v>
      </c>
      <c r="D66" t="s">
        <v>60</v>
      </c>
      <c r="E66">
        <v>100213</v>
      </c>
      <c r="F66">
        <v>4047.5</v>
      </c>
      <c r="G66">
        <v>783.5</v>
      </c>
      <c r="H66">
        <v>78.5</v>
      </c>
      <c r="I66">
        <v>169767.5</v>
      </c>
      <c r="J66">
        <v>0.93674999999999997</v>
      </c>
      <c r="K66">
        <v>0.95808333333333295</v>
      </c>
      <c r="L66">
        <v>4320.7899653055701</v>
      </c>
      <c r="M66">
        <v>81.934417674175805</v>
      </c>
      <c r="N66">
        <v>0.13862989319999999</v>
      </c>
      <c r="O66">
        <v>108.6165213222</v>
      </c>
      <c r="P66">
        <v>2916.6794470650302</v>
      </c>
      <c r="Q66">
        <v>6.6299999999999998E-2</v>
      </c>
      <c r="R66">
        <v>8.0500000000000002E-2</v>
      </c>
      <c r="S66">
        <v>5.8700000000000002E-2</v>
      </c>
      <c r="T66">
        <v>1.5762711</v>
      </c>
      <c r="U66">
        <v>286.46837469975901</v>
      </c>
      <c r="V66">
        <v>6.5957206227711502</v>
      </c>
      <c r="W66">
        <v>171.209083542717</v>
      </c>
      <c r="X66">
        <v>464.27317886524798</v>
      </c>
      <c r="Y66">
        <v>274.03887187305497</v>
      </c>
      <c r="AB66">
        <v>0.724439213202277</v>
      </c>
      <c r="AC66" t="s">
        <v>54</v>
      </c>
      <c r="AD66">
        <v>0.724439213202277</v>
      </c>
      <c r="AE66">
        <v>336.33769640806099</v>
      </c>
      <c r="AF66">
        <v>800.61087527330903</v>
      </c>
      <c r="AG66">
        <v>243</v>
      </c>
      <c r="AH66">
        <v>364</v>
      </c>
      <c r="AI66">
        <v>486</v>
      </c>
      <c r="AJ66">
        <v>267.3</v>
      </c>
      <c r="AK66">
        <v>400.4</v>
      </c>
      <c r="AL66">
        <v>534.6</v>
      </c>
      <c r="AM66">
        <f>Table1[[#This Row],[gross_cost]]-Table1[[#This Row],[CCR_single_base]]</f>
        <v>557.61087527330903</v>
      </c>
      <c r="AN66">
        <f>Table1[[#This Row],[gross_cost]]-Table1[[#This Row],[CCR_couple_base]]</f>
        <v>436.61087527330903</v>
      </c>
      <c r="AO66">
        <f>Table1[[#This Row],[gross_cost]]-Table1[[#This Row],[CCR_family4_rural]]</f>
        <v>266.01087527330901</v>
      </c>
      <c r="AP66">
        <v>533.31087527330897</v>
      </c>
      <c r="AQ66">
        <v>400.210875273309</v>
      </c>
      <c r="AR66">
        <v>266.01087527330901</v>
      </c>
      <c r="AS66">
        <f>Table1[[#This Row],[direct_tax]]/Table1[[#This Row],[total_exp]]</f>
        <v>2.7347588841518428E-3</v>
      </c>
      <c r="AT66">
        <f>Table1[[#This Row],[gross_cost]]/Table1[[#This Row],[total_exp]]</f>
        <v>4.7159254584847451E-3</v>
      </c>
      <c r="AU66">
        <v>3.2845560856660399E-3</v>
      </c>
      <c r="AV66">
        <v>2.5718166037275001E-3</v>
      </c>
      <c r="AW66">
        <v>1.8531867128473299E-3</v>
      </c>
      <c r="AX66">
        <v>3.1414191483841699E-3</v>
      </c>
      <c r="AY66">
        <v>2.35740571825178E-3</v>
      </c>
      <c r="AZ66">
        <v>1.5669128382835901E-3</v>
      </c>
    </row>
    <row r="67" spans="1:52" x14ac:dyDescent="0.2">
      <c r="A67" t="s">
        <v>61</v>
      </c>
      <c r="B67">
        <v>2021</v>
      </c>
      <c r="C67">
        <v>40</v>
      </c>
      <c r="D67" t="s">
        <v>60</v>
      </c>
      <c r="E67">
        <v>89909</v>
      </c>
      <c r="F67">
        <v>3781</v>
      </c>
      <c r="G67">
        <v>786</v>
      </c>
      <c r="H67">
        <v>93</v>
      </c>
      <c r="I67">
        <v>164095</v>
      </c>
      <c r="J67">
        <v>1.25941666666666</v>
      </c>
      <c r="K67">
        <v>1.1819166666666601</v>
      </c>
      <c r="L67">
        <v>3002.1835505855802</v>
      </c>
      <c r="M67">
        <v>78.685750546428807</v>
      </c>
      <c r="N67">
        <v>0.13862989319999999</v>
      </c>
      <c r="O67">
        <v>108.9630960552</v>
      </c>
      <c r="P67">
        <v>2925.9860183702799</v>
      </c>
      <c r="Q67">
        <v>8.8400000000000006E-2</v>
      </c>
      <c r="R67">
        <v>0.10730000000000001</v>
      </c>
      <c r="S67">
        <v>7.8299999999999995E-2</v>
      </c>
      <c r="T67">
        <v>2.1025898999999999</v>
      </c>
      <c r="U67">
        <v>265.39302587176599</v>
      </c>
      <c r="V67">
        <v>8.4429810336318099</v>
      </c>
      <c r="W67">
        <v>229.104705238393</v>
      </c>
      <c r="X67">
        <v>502.94071214379102</v>
      </c>
      <c r="Y67">
        <v>294.12709451574398</v>
      </c>
      <c r="Z67">
        <v>462</v>
      </c>
      <c r="AA67">
        <v>0.57074954539854506</v>
      </c>
      <c r="AB67">
        <v>0.64155847755930395</v>
      </c>
      <c r="AC67" t="s">
        <v>55</v>
      </c>
      <c r="AD67">
        <v>0.57074954539854506</v>
      </c>
      <c r="AE67">
        <v>287.05318281848901</v>
      </c>
      <c r="AF67">
        <v>789.99389496228002</v>
      </c>
      <c r="AG67">
        <v>360</v>
      </c>
      <c r="AH67">
        <v>540</v>
      </c>
      <c r="AI67">
        <v>720</v>
      </c>
      <c r="AJ67">
        <v>396</v>
      </c>
      <c r="AK67">
        <v>594</v>
      </c>
      <c r="AL67">
        <v>792</v>
      </c>
      <c r="AM67">
        <f>Table1[[#This Row],[gross_cost]]-Table1[[#This Row],[CCR_single_base]]</f>
        <v>429.99389496228002</v>
      </c>
      <c r="AN67">
        <f>Table1[[#This Row],[gross_cost]]-Table1[[#This Row],[CCR_couple_base]]</f>
        <v>249.99389496228002</v>
      </c>
      <c r="AO67">
        <f>Table1[[#This Row],[gross_cost]]-Table1[[#This Row],[CCR_family4_rural]]</f>
        <v>-2.0061050377199763</v>
      </c>
      <c r="AP67">
        <v>393.99389496228002</v>
      </c>
      <c r="AQ67">
        <v>195.99389496228</v>
      </c>
      <c r="AR67">
        <v>-2.00610503771918</v>
      </c>
      <c r="AS67">
        <f>Table1[[#This Row],[direct_tax]]/Table1[[#This Row],[total_exp]]</f>
        <v>3.0649362390309945E-3</v>
      </c>
      <c r="AT67">
        <f>Table1[[#This Row],[gross_cost]]/Table1[[#This Row],[total_exp]]</f>
        <v>4.8142472041334591E-3</v>
      </c>
      <c r="AU67">
        <v>2.6203960813082701E-3</v>
      </c>
      <c r="AV67">
        <v>1.52347051989567E-3</v>
      </c>
      <c r="AW67">
        <v>4.2654495848307898E-4</v>
      </c>
      <c r="AX67">
        <v>2.4010109690257501E-3</v>
      </c>
      <c r="AY67">
        <v>1.19439285147189E-3</v>
      </c>
      <c r="AZ67" s="1">
        <v>-1.2225266081959701E-5</v>
      </c>
    </row>
    <row r="68" spans="1:52" x14ac:dyDescent="0.2">
      <c r="A68" t="s">
        <v>61</v>
      </c>
      <c r="B68">
        <v>2022</v>
      </c>
      <c r="C68">
        <v>50</v>
      </c>
      <c r="D68" t="s">
        <v>60</v>
      </c>
      <c r="E68">
        <v>105572</v>
      </c>
      <c r="F68">
        <v>4325.5</v>
      </c>
      <c r="G68">
        <v>809</v>
      </c>
      <c r="H68">
        <v>99</v>
      </c>
      <c r="I68">
        <v>173770.5</v>
      </c>
      <c r="J68">
        <v>1.70891666666666</v>
      </c>
      <c r="K68">
        <v>1.7853333333333301</v>
      </c>
      <c r="L68">
        <v>2531.1357097576401</v>
      </c>
      <c r="M68">
        <v>55.451829723674301</v>
      </c>
      <c r="N68">
        <v>0.13862989319999999</v>
      </c>
      <c r="O68">
        <v>112.15158359879899</v>
      </c>
      <c r="P68">
        <v>3011.6064743785701</v>
      </c>
      <c r="Q68">
        <v>0.1105</v>
      </c>
      <c r="R68">
        <v>0.1341</v>
      </c>
      <c r="S68">
        <v>9.7900000000000001E-2</v>
      </c>
      <c r="T68">
        <v>2.6289087000000002</v>
      </c>
      <c r="U68">
        <v>279.69049592821898</v>
      </c>
      <c r="V68">
        <v>7.4360903659447297</v>
      </c>
      <c r="W68">
        <v>294.83627384166198</v>
      </c>
      <c r="X68">
        <v>581.96286013582699</v>
      </c>
      <c r="Y68">
        <v>338.15467872836598</v>
      </c>
      <c r="Z68">
        <v>559</v>
      </c>
      <c r="AA68">
        <v>0.65308965146400899</v>
      </c>
      <c r="AB68">
        <v>0.55867774191633002</v>
      </c>
      <c r="AC68" t="s">
        <v>55</v>
      </c>
      <c r="AD68">
        <v>0.65308965146400899</v>
      </c>
      <c r="AE68">
        <v>380.07392149110501</v>
      </c>
      <c r="AF68">
        <v>962.036781626932</v>
      </c>
      <c r="AG68">
        <v>416</v>
      </c>
      <c r="AH68">
        <v>624</v>
      </c>
      <c r="AI68">
        <v>832</v>
      </c>
      <c r="AJ68">
        <v>457.6</v>
      </c>
      <c r="AK68">
        <v>686.4</v>
      </c>
      <c r="AL68">
        <v>915.2</v>
      </c>
      <c r="AM68">
        <f>Table1[[#This Row],[gross_cost]]-Table1[[#This Row],[CCR_single_base]]</f>
        <v>546.036781626932</v>
      </c>
      <c r="AN68">
        <f>Table1[[#This Row],[gross_cost]]-Table1[[#This Row],[CCR_couple_base]]</f>
        <v>338.036781626932</v>
      </c>
      <c r="AO68">
        <f>Table1[[#This Row],[gross_cost]]-Table1[[#This Row],[CCR_family4_rural]]</f>
        <v>46.836781626931952</v>
      </c>
      <c r="AP68">
        <v>504.43678162693197</v>
      </c>
      <c r="AQ68">
        <v>275.63678162693202</v>
      </c>
      <c r="AR68">
        <v>46.836781626932201</v>
      </c>
      <c r="AS68">
        <f>Table1[[#This Row],[direct_tax]]/Table1[[#This Row],[total_exp]]</f>
        <v>3.3490313956386557E-3</v>
      </c>
      <c r="AT68">
        <f>Table1[[#This Row],[gross_cost]]/Table1[[#This Row],[total_exp]]</f>
        <v>5.536249142558328E-3</v>
      </c>
      <c r="AU68">
        <v>3.1422869913301202E-3</v>
      </c>
      <c r="AV68">
        <v>1.94530591571602E-3</v>
      </c>
      <c r="AW68">
        <v>7.4832484010192897E-4</v>
      </c>
      <c r="AX68">
        <v>2.9028907762072998E-3</v>
      </c>
      <c r="AY68">
        <v>1.58621159303179E-3</v>
      </c>
      <c r="AZ68">
        <v>2.69532409856289E-4</v>
      </c>
    </row>
    <row r="69" spans="1:52" x14ac:dyDescent="0.2">
      <c r="A69" t="s">
        <v>61</v>
      </c>
      <c r="B69">
        <v>2023</v>
      </c>
      <c r="C69">
        <v>65</v>
      </c>
      <c r="D69" t="s">
        <v>60</v>
      </c>
      <c r="E69">
        <v>111035</v>
      </c>
      <c r="F69">
        <v>4870</v>
      </c>
      <c r="G69">
        <v>832</v>
      </c>
      <c r="H69">
        <v>105</v>
      </c>
      <c r="I69">
        <v>183446</v>
      </c>
      <c r="J69">
        <v>1.5527500000000001</v>
      </c>
      <c r="K69">
        <v>1.5549166666666601</v>
      </c>
      <c r="L69">
        <v>3136.37095475768</v>
      </c>
      <c r="M69">
        <v>67.527734605284294</v>
      </c>
      <c r="N69">
        <v>0.13862989319999999</v>
      </c>
      <c r="O69">
        <v>115.340071142399</v>
      </c>
      <c r="P69">
        <v>3097.2269303868602</v>
      </c>
      <c r="Q69">
        <v>0.1431</v>
      </c>
      <c r="R69">
        <v>0.17380000000000001</v>
      </c>
      <c r="S69">
        <v>0.1239</v>
      </c>
      <c r="T69">
        <v>3.3270867000000002</v>
      </c>
      <c r="U69">
        <v>448.81468362582501</v>
      </c>
      <c r="V69">
        <v>11.7363202743984</v>
      </c>
      <c r="W69">
        <v>383.74641667493199</v>
      </c>
      <c r="X69">
        <v>844.29742057515602</v>
      </c>
      <c r="Y69">
        <v>498.54860869004602</v>
      </c>
      <c r="AB69">
        <v>0.434356638451871</v>
      </c>
      <c r="AC69" t="s">
        <v>54</v>
      </c>
      <c r="AD69">
        <v>0.434356638451871</v>
      </c>
      <c r="AE69">
        <v>366.72618945460999</v>
      </c>
      <c r="AF69">
        <v>1211.02361002976</v>
      </c>
      <c r="AG69">
        <v>528</v>
      </c>
      <c r="AH69">
        <v>792</v>
      </c>
      <c r="AI69">
        <v>1056</v>
      </c>
      <c r="AJ69">
        <v>580.79999999999995</v>
      </c>
      <c r="AK69">
        <v>871.2</v>
      </c>
      <c r="AL69">
        <v>1161.5999999999999</v>
      </c>
      <c r="AM69">
        <f>Table1[[#This Row],[gross_cost]]-Table1[[#This Row],[CCR_single_base]]</f>
        <v>683.02361002975999</v>
      </c>
      <c r="AN69">
        <f>Table1[[#This Row],[gross_cost]]-Table1[[#This Row],[CCR_couple_base]]</f>
        <v>419.02361002975999</v>
      </c>
      <c r="AO69">
        <f>Table1[[#This Row],[gross_cost]]-Table1[[#This Row],[CCR_family4_rural]]</f>
        <v>49.423610029760084</v>
      </c>
      <c r="AP69">
        <v>630.22361002976595</v>
      </c>
      <c r="AQ69">
        <v>339.82361002976597</v>
      </c>
      <c r="AR69">
        <v>49.4236100297666</v>
      </c>
      <c r="AS69">
        <f>Table1[[#This Row],[direct_tax]]/Table1[[#This Row],[total_exp]]</f>
        <v>4.6024302550895417E-3</v>
      </c>
      <c r="AT69">
        <f>Table1[[#This Row],[gross_cost]]/Table1[[#This Row],[total_exp]]</f>
        <v>6.6015263893993877E-3</v>
      </c>
      <c r="AU69">
        <v>3.7232951932981099E-3</v>
      </c>
      <c r="AV69">
        <v>2.2841795952474602E-3</v>
      </c>
      <c r="AW69">
        <v>8.4506399719681401E-4</v>
      </c>
      <c r="AX69">
        <v>3.4354720736879799E-3</v>
      </c>
      <c r="AY69">
        <v>1.85244491583227E-3</v>
      </c>
      <c r="AZ69">
        <v>2.6941775797655201E-4</v>
      </c>
    </row>
    <row r="70" spans="1:52" x14ac:dyDescent="0.2">
      <c r="A70" t="s">
        <v>61</v>
      </c>
      <c r="B70">
        <v>2024</v>
      </c>
      <c r="C70">
        <v>80</v>
      </c>
      <c r="D70" t="s">
        <v>60</v>
      </c>
      <c r="E70">
        <v>100396</v>
      </c>
      <c r="F70">
        <v>4870</v>
      </c>
      <c r="G70">
        <v>832</v>
      </c>
      <c r="H70">
        <v>105</v>
      </c>
      <c r="I70">
        <v>183446</v>
      </c>
      <c r="J70">
        <v>1.34116666666666</v>
      </c>
      <c r="K70">
        <v>1.3398333333333301</v>
      </c>
      <c r="L70">
        <v>3631.1668944948401</v>
      </c>
      <c r="M70">
        <v>78.367956213459394</v>
      </c>
      <c r="N70">
        <v>0.13862989319999999</v>
      </c>
      <c r="O70">
        <v>115.340071142399</v>
      </c>
      <c r="P70">
        <v>3097.2269303868602</v>
      </c>
      <c r="Q70">
        <v>0.17610000000000001</v>
      </c>
      <c r="R70">
        <v>0.21390000000000001</v>
      </c>
      <c r="S70">
        <v>0.1525</v>
      </c>
      <c r="T70">
        <v>4.0950825000000002</v>
      </c>
      <c r="U70">
        <v>639.44849012054101</v>
      </c>
      <c r="V70">
        <v>16.762905834058898</v>
      </c>
      <c r="W70">
        <v>472.32710688399698</v>
      </c>
      <c r="X70">
        <v>1128.5385028385899</v>
      </c>
      <c r="Y70">
        <v>643.64042647087604</v>
      </c>
      <c r="Z70">
        <v>828</v>
      </c>
      <c r="AA70">
        <v>0.28643255760049102</v>
      </c>
      <c r="AB70">
        <v>0.31003553498740999</v>
      </c>
      <c r="AC70" t="s">
        <v>55</v>
      </c>
      <c r="AD70">
        <v>0.28643255760049102</v>
      </c>
      <c r="AE70">
        <v>323.25016971868899</v>
      </c>
      <c r="AF70">
        <v>1451.7886725572801</v>
      </c>
      <c r="AG70">
        <v>600</v>
      </c>
      <c r="AH70">
        <v>900</v>
      </c>
      <c r="AI70">
        <v>1200</v>
      </c>
      <c r="AJ70">
        <v>720</v>
      </c>
      <c r="AK70">
        <v>1080</v>
      </c>
      <c r="AL70">
        <v>1440</v>
      </c>
      <c r="AM70">
        <f>Table1[[#This Row],[gross_cost]]-Table1[[#This Row],[CCR_single_base]]</f>
        <v>851.78867255728005</v>
      </c>
      <c r="AN70">
        <f>Table1[[#This Row],[gross_cost]]-Table1[[#This Row],[CCR_couple_base]]</f>
        <v>551.78867255728005</v>
      </c>
      <c r="AO70">
        <f>Table1[[#This Row],[gross_cost]]-Table1[[#This Row],[CCR_family4_rural]]</f>
        <v>11.788672557280051</v>
      </c>
      <c r="AP70">
        <v>731.78867255728699</v>
      </c>
      <c r="AQ70">
        <v>371.78867255728699</v>
      </c>
      <c r="AR70">
        <v>11.7886725572871</v>
      </c>
      <c r="AS70">
        <f>Table1[[#This Row],[direct_tax]]/Table1[[#This Row],[total_exp]]</f>
        <v>6.1518839486202478E-3</v>
      </c>
      <c r="AT70">
        <f>Table1[[#This Row],[gross_cost]]/Table1[[#This Row],[total_exp]]</f>
        <v>7.9139838020849743E-3</v>
      </c>
      <c r="AU70">
        <v>4.6432665337880702E-3</v>
      </c>
      <c r="AV70">
        <v>3.0079078996396E-3</v>
      </c>
      <c r="AW70">
        <v>1.37254926549113E-3</v>
      </c>
      <c r="AX70">
        <v>3.9891230801286804E-3</v>
      </c>
      <c r="AY70">
        <v>2.02669271915052E-3</v>
      </c>
      <c r="AZ70" s="1">
        <v>6.4262358172361794E-5</v>
      </c>
    </row>
    <row r="71" spans="1:52" x14ac:dyDescent="0.2">
      <c r="A71" t="s">
        <v>61</v>
      </c>
      <c r="B71">
        <v>2025</v>
      </c>
      <c r="C71">
        <v>0</v>
      </c>
      <c r="D71" t="s">
        <v>60</v>
      </c>
      <c r="E71">
        <v>100396</v>
      </c>
      <c r="F71">
        <v>4870</v>
      </c>
      <c r="G71">
        <v>832</v>
      </c>
      <c r="H71">
        <v>105</v>
      </c>
      <c r="I71">
        <v>183446</v>
      </c>
      <c r="J71">
        <v>1.36283333333333</v>
      </c>
      <c r="K71">
        <v>1.26558333333333</v>
      </c>
      <c r="L71">
        <v>3573.43769108475</v>
      </c>
      <c r="M71">
        <v>82.965694343846707</v>
      </c>
      <c r="N71">
        <v>0.13862989319999999</v>
      </c>
      <c r="O71">
        <v>115.340071142399</v>
      </c>
      <c r="P71">
        <v>3097.2269303868602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AB71">
        <v>0</v>
      </c>
      <c r="AC71" t="s">
        <v>56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f>Table1[[#This Row],[gross_cost]]-Table1[[#This Row],[CCR_single_base]]</f>
        <v>0</v>
      </c>
      <c r="AN71">
        <f>Table1[[#This Row],[gross_cost]]-Table1[[#This Row],[CCR_couple_base]]</f>
        <v>0</v>
      </c>
      <c r="AO71">
        <f>Table1[[#This Row],[gross_cost]]-Table1[[#This Row],[CCR_family4_rural]]</f>
        <v>0</v>
      </c>
      <c r="AP71">
        <v>0</v>
      </c>
      <c r="AQ71">
        <v>0</v>
      </c>
      <c r="AR71">
        <v>0</v>
      </c>
      <c r="AS71">
        <f>Table1[[#This Row],[direct_tax]]/Table1[[#This Row],[total_exp]]</f>
        <v>0</v>
      </c>
      <c r="AT71">
        <f>Table1[[#This Row],[gross_cost]]/Table1[[#This Row],[total_exp]]</f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2">
      <c r="A72" t="s">
        <v>62</v>
      </c>
      <c r="B72">
        <v>2019</v>
      </c>
      <c r="C72">
        <v>20</v>
      </c>
      <c r="D72" t="s">
        <v>53</v>
      </c>
      <c r="E72">
        <v>67501</v>
      </c>
      <c r="F72">
        <v>1434</v>
      </c>
      <c r="G72">
        <v>480</v>
      </c>
      <c r="H72">
        <v>95</v>
      </c>
      <c r="I72">
        <v>38748</v>
      </c>
      <c r="J72">
        <v>1.11154166666666</v>
      </c>
      <c r="K72">
        <v>1.1245833333333299</v>
      </c>
      <c r="L72">
        <v>1290.1000862165899</v>
      </c>
      <c r="M72">
        <v>84.475731752500906</v>
      </c>
      <c r="N72">
        <v>8.7825772199999999E-2</v>
      </c>
      <c r="O72">
        <v>42.156370656</v>
      </c>
      <c r="P72">
        <v>1132.0250212255601</v>
      </c>
      <c r="Q72">
        <v>4.4200000000000003E-2</v>
      </c>
      <c r="R72">
        <v>5.3699999999999998E-2</v>
      </c>
      <c r="S72">
        <v>3.9100000000000003E-2</v>
      </c>
      <c r="T72">
        <v>1.0499522999999999</v>
      </c>
      <c r="U72">
        <v>57.022423810773297</v>
      </c>
      <c r="V72">
        <v>4.5363467951093002</v>
      </c>
      <c r="W72">
        <v>44.262178329919699</v>
      </c>
      <c r="X72">
        <v>105.82094893580199</v>
      </c>
      <c r="Y72">
        <v>220.21378023299499</v>
      </c>
      <c r="AB72">
        <v>1.13466359612199</v>
      </c>
      <c r="AC72" t="s">
        <v>54</v>
      </c>
      <c r="AD72">
        <v>1.13466359612199</v>
      </c>
      <c r="AE72">
        <v>120.071178464539</v>
      </c>
      <c r="AF72">
        <v>225.892127400341</v>
      </c>
      <c r="AG72">
        <v>305</v>
      </c>
      <c r="AH72">
        <v>457</v>
      </c>
      <c r="AI72">
        <v>609</v>
      </c>
      <c r="AJ72">
        <v>335.5</v>
      </c>
      <c r="AK72">
        <v>502.7</v>
      </c>
      <c r="AL72">
        <v>669.9</v>
      </c>
      <c r="AM72">
        <f>Table1[[#This Row],[gross_cost]]-Table1[[#This Row],[CCR_single_base]]</f>
        <v>-79.107872599659004</v>
      </c>
      <c r="AN72">
        <f>Table1[[#This Row],[gross_cost]]-Table1[[#This Row],[CCR_couple_base]]</f>
        <v>-231.107872599659</v>
      </c>
      <c r="AO72">
        <f>Table1[[#This Row],[gross_cost]]-Table1[[#This Row],[CCR_family4_rural]]</f>
        <v>-444.00787259965898</v>
      </c>
      <c r="AP72">
        <v>-109.60787259965799</v>
      </c>
      <c r="AQ72">
        <v>-276.80787259965803</v>
      </c>
      <c r="AR72">
        <v>-444.00787259965801</v>
      </c>
      <c r="AS72">
        <f>Table1[[#This Row],[direct_tax]]/Table1[[#This Row],[total_exp]]</f>
        <v>2.7310041533963559E-3</v>
      </c>
      <c r="AT72">
        <f>Table1[[#This Row],[gross_cost]]/Table1[[#This Row],[total_exp]]</f>
        <v>5.8297751471131668E-3</v>
      </c>
      <c r="AU72">
        <v>-2.0415988592871501E-3</v>
      </c>
      <c r="AV72">
        <v>-5.9643819706735402E-3</v>
      </c>
      <c r="AW72">
        <v>-9.8871650820599403E-3</v>
      </c>
      <c r="AX72">
        <v>-2.8287362599271801E-3</v>
      </c>
      <c r="AY72">
        <v>-7.1437976824522097E-3</v>
      </c>
      <c r="AZ72">
        <v>-1.1458859104977201E-2</v>
      </c>
    </row>
    <row r="73" spans="1:52" x14ac:dyDescent="0.2">
      <c r="A73" t="s">
        <v>62</v>
      </c>
      <c r="B73">
        <v>2020</v>
      </c>
      <c r="C73">
        <v>30</v>
      </c>
      <c r="D73" t="s">
        <v>53</v>
      </c>
      <c r="E73">
        <v>56398</v>
      </c>
      <c r="F73">
        <v>1521.5</v>
      </c>
      <c r="G73">
        <v>486.5</v>
      </c>
      <c r="H73">
        <v>148.5</v>
      </c>
      <c r="I73">
        <v>40181.5</v>
      </c>
      <c r="J73">
        <v>0.96683333333333299</v>
      </c>
      <c r="K73">
        <v>0.92245833333333305</v>
      </c>
      <c r="L73">
        <v>1573.6941906567799</v>
      </c>
      <c r="M73">
        <v>160.982880888929</v>
      </c>
      <c r="N73">
        <v>8.7825772199999999E-2</v>
      </c>
      <c r="O73">
        <v>42.727238175300002</v>
      </c>
      <c r="P73">
        <v>1147.3545267213301</v>
      </c>
      <c r="Q73">
        <v>6.6299999999999998E-2</v>
      </c>
      <c r="R73">
        <v>8.0500000000000002E-2</v>
      </c>
      <c r="S73">
        <v>5.8700000000000002E-2</v>
      </c>
      <c r="T73">
        <v>1.5762711</v>
      </c>
      <c r="U73">
        <v>104.335924840544</v>
      </c>
      <c r="V73">
        <v>12.9591219115587</v>
      </c>
      <c r="W73">
        <v>67.349710718542099</v>
      </c>
      <c r="X73">
        <v>184.644757470645</v>
      </c>
      <c r="Y73">
        <v>340.67203799177003</v>
      </c>
      <c r="AB73">
        <v>1.01627717147814</v>
      </c>
      <c r="AC73" t="s">
        <v>54</v>
      </c>
      <c r="AD73">
        <v>1.01627717147814</v>
      </c>
      <c r="AE73">
        <v>187.650251850535</v>
      </c>
      <c r="AF73">
        <v>372.295009321181</v>
      </c>
      <c r="AG73">
        <v>405</v>
      </c>
      <c r="AH73">
        <v>607</v>
      </c>
      <c r="AI73">
        <v>809</v>
      </c>
      <c r="AJ73">
        <v>445.5</v>
      </c>
      <c r="AK73">
        <v>667.7</v>
      </c>
      <c r="AL73">
        <v>889.9</v>
      </c>
      <c r="AM73">
        <f>Table1[[#This Row],[gross_cost]]-Table1[[#This Row],[CCR_single_base]]</f>
        <v>-32.704990678819001</v>
      </c>
      <c r="AN73">
        <f>Table1[[#This Row],[gross_cost]]-Table1[[#This Row],[CCR_couple_base]]</f>
        <v>-234.704990678819</v>
      </c>
      <c r="AO73">
        <f>Table1[[#This Row],[gross_cost]]-Table1[[#This Row],[CCR_family4_rural]]</f>
        <v>-517.60499067881892</v>
      </c>
      <c r="AP73">
        <v>-73.204990678818504</v>
      </c>
      <c r="AQ73">
        <v>-295.40499067881802</v>
      </c>
      <c r="AR73">
        <v>-517.60499067881801</v>
      </c>
      <c r="AS73">
        <f>Table1[[#This Row],[direct_tax]]/Table1[[#This Row],[total_exp]]</f>
        <v>4.5952679086307133E-3</v>
      </c>
      <c r="AT73">
        <f>Table1[[#This Row],[gross_cost]]/Table1[[#This Row],[total_exp]]</f>
        <v>9.2653337809982458E-3</v>
      </c>
      <c r="AU73">
        <v>-8.1393155255076301E-4</v>
      </c>
      <c r="AV73">
        <v>-5.8411206818764399E-3</v>
      </c>
      <c r="AW73">
        <v>-1.08683098112021E-2</v>
      </c>
      <c r="AX73">
        <v>-1.82185808590566E-3</v>
      </c>
      <c r="AY73">
        <v>-7.3517661281639196E-3</v>
      </c>
      <c r="AZ73">
        <v>-1.2881674170422099E-2</v>
      </c>
    </row>
    <row r="74" spans="1:52" x14ac:dyDescent="0.2">
      <c r="A74" t="s">
        <v>62</v>
      </c>
      <c r="B74">
        <v>2021</v>
      </c>
      <c r="C74">
        <v>40</v>
      </c>
      <c r="D74" t="s">
        <v>53</v>
      </c>
      <c r="E74">
        <v>41212</v>
      </c>
      <c r="F74">
        <v>1609</v>
      </c>
      <c r="G74">
        <v>493</v>
      </c>
      <c r="H74">
        <v>202</v>
      </c>
      <c r="I74">
        <v>41615</v>
      </c>
      <c r="J74">
        <v>1.2702499999999901</v>
      </c>
      <c r="K74">
        <v>1.13225</v>
      </c>
      <c r="L74">
        <v>1266.6797874434101</v>
      </c>
      <c r="M74">
        <v>178.405829101346</v>
      </c>
      <c r="N74">
        <v>8.7825772199999999E-2</v>
      </c>
      <c r="O74">
        <v>43.298105694599997</v>
      </c>
      <c r="P74">
        <v>1162.6840322170899</v>
      </c>
      <c r="Q74">
        <v>8.8400000000000006E-2</v>
      </c>
      <c r="R74">
        <v>0.10730000000000001</v>
      </c>
      <c r="S74">
        <v>7.8299999999999995E-2</v>
      </c>
      <c r="T74">
        <v>2.1025898999999999</v>
      </c>
      <c r="U74">
        <v>111.974493209998</v>
      </c>
      <c r="V74">
        <v>19.142945462574499</v>
      </c>
      <c r="W74">
        <v>91.038159722598394</v>
      </c>
      <c r="X74">
        <v>222.15559839517101</v>
      </c>
      <c r="Y74">
        <v>363.08303168712303</v>
      </c>
      <c r="Z74">
        <v>720</v>
      </c>
      <c r="AA74">
        <v>0.98301748405703304</v>
      </c>
      <c r="AB74">
        <v>0.89789074683429704</v>
      </c>
      <c r="AC74" t="s">
        <v>55</v>
      </c>
      <c r="AD74">
        <v>0.98301748405703304</v>
      </c>
      <c r="AE74">
        <v>218.38283740360501</v>
      </c>
      <c r="AF74">
        <v>440.53843579877599</v>
      </c>
      <c r="AG74">
        <v>500</v>
      </c>
      <c r="AH74">
        <v>750</v>
      </c>
      <c r="AI74">
        <v>1000</v>
      </c>
      <c r="AJ74">
        <v>550</v>
      </c>
      <c r="AK74">
        <v>825</v>
      </c>
      <c r="AL74">
        <v>1100</v>
      </c>
      <c r="AM74">
        <f>Table1[[#This Row],[gross_cost]]-Table1[[#This Row],[CCR_single_base]]</f>
        <v>-59.461564201224007</v>
      </c>
      <c r="AN74">
        <f>Table1[[#This Row],[gross_cost]]-Table1[[#This Row],[CCR_couple_base]]</f>
        <v>-309.46156420122401</v>
      </c>
      <c r="AO74">
        <f>Table1[[#This Row],[gross_cost]]-Table1[[#This Row],[CCR_family4_rural]]</f>
        <v>-659.46156420122406</v>
      </c>
      <c r="AP74">
        <v>-109.461564201223</v>
      </c>
      <c r="AQ74">
        <v>-384.46156420122298</v>
      </c>
      <c r="AR74">
        <v>-659.46156420122304</v>
      </c>
      <c r="AS74">
        <f>Table1[[#This Row],[direct_tax]]/Table1[[#This Row],[total_exp]]</f>
        <v>5.3383539203453326E-3</v>
      </c>
      <c r="AT74">
        <f>Table1[[#This Row],[gross_cost]]/Table1[[#This Row],[total_exp]]</f>
        <v>1.0586049160129184E-2</v>
      </c>
      <c r="AU74">
        <v>-1.4288493139786901E-3</v>
      </c>
      <c r="AV74">
        <v>-7.4362985510326397E-3</v>
      </c>
      <c r="AW74">
        <v>-1.34437477880865E-2</v>
      </c>
      <c r="AX74">
        <v>-2.6303391613894801E-3</v>
      </c>
      <c r="AY74">
        <v>-9.2385333221488199E-3</v>
      </c>
      <c r="AZ74">
        <v>-1.58467274829081E-2</v>
      </c>
    </row>
    <row r="75" spans="1:52" x14ac:dyDescent="0.2">
      <c r="A75" t="s">
        <v>62</v>
      </c>
      <c r="B75">
        <v>2022</v>
      </c>
      <c r="C75">
        <v>50</v>
      </c>
      <c r="D75" t="s">
        <v>53</v>
      </c>
      <c r="E75">
        <v>45920</v>
      </c>
      <c r="F75">
        <v>1454</v>
      </c>
      <c r="G75">
        <v>485.5</v>
      </c>
      <c r="H75">
        <v>202</v>
      </c>
      <c r="I75">
        <v>40643.5</v>
      </c>
      <c r="J75">
        <v>1.651875</v>
      </c>
      <c r="K75">
        <v>1.74491666666666</v>
      </c>
      <c r="L75">
        <v>880.21188043889504</v>
      </c>
      <c r="M75">
        <v>115.764840727828</v>
      </c>
      <c r="N75">
        <v>8.7825772199999999E-2</v>
      </c>
      <c r="O75">
        <v>42.639412403099897</v>
      </c>
      <c r="P75">
        <v>1144.99614126044</v>
      </c>
      <c r="Q75">
        <v>0.1105</v>
      </c>
      <c r="R75">
        <v>0.1341</v>
      </c>
      <c r="S75">
        <v>9.7900000000000001E-2</v>
      </c>
      <c r="T75">
        <v>2.6289087000000002</v>
      </c>
      <c r="U75">
        <v>97.263412788497902</v>
      </c>
      <c r="V75">
        <v>15.524065141601699</v>
      </c>
      <c r="W75">
        <v>112.09512222939701</v>
      </c>
      <c r="X75">
        <v>224.882600159497</v>
      </c>
      <c r="Y75">
        <v>440.57570003126</v>
      </c>
      <c r="Z75">
        <v>734</v>
      </c>
      <c r="AA75">
        <v>0.66600200589346903</v>
      </c>
      <c r="AB75">
        <v>0.77950432219044996</v>
      </c>
      <c r="AC75" t="s">
        <v>55</v>
      </c>
      <c r="AD75">
        <v>0.66600200589346903</v>
      </c>
      <c r="AE75">
        <v>149.77226279676401</v>
      </c>
      <c r="AF75">
        <v>374.65486295626101</v>
      </c>
      <c r="AG75">
        <v>550</v>
      </c>
      <c r="AH75">
        <v>825</v>
      </c>
      <c r="AI75">
        <v>1101</v>
      </c>
      <c r="AJ75">
        <v>605</v>
      </c>
      <c r="AK75">
        <v>907.5</v>
      </c>
      <c r="AL75">
        <v>1211.0999999999999</v>
      </c>
      <c r="AM75">
        <f>Table1[[#This Row],[gross_cost]]-Table1[[#This Row],[CCR_single_base]]</f>
        <v>-175.34513704373899</v>
      </c>
      <c r="AN75">
        <f>Table1[[#This Row],[gross_cost]]-Table1[[#This Row],[CCR_couple_base]]</f>
        <v>-450.34513704373899</v>
      </c>
      <c r="AO75">
        <f>Table1[[#This Row],[gross_cost]]-Table1[[#This Row],[CCR_family4_rural]]</f>
        <v>-836.4451370437389</v>
      </c>
      <c r="AP75">
        <v>-230.34513704373799</v>
      </c>
      <c r="AQ75">
        <v>-532.84513704373796</v>
      </c>
      <c r="AR75">
        <v>-836.44513704373799</v>
      </c>
      <c r="AS75">
        <f>Table1[[#This Row],[direct_tax]]/Table1[[#This Row],[total_exp]]</f>
        <v>5.5330520294634318E-3</v>
      </c>
      <c r="AT75">
        <f>Table1[[#This Row],[gross_cost]]/Table1[[#This Row],[total_exp]]</f>
        <v>9.2180757797990093E-3</v>
      </c>
      <c r="AU75">
        <v>-4.31422335782446E-3</v>
      </c>
      <c r="AV75">
        <v>-1.10803729266362E-2</v>
      </c>
      <c r="AW75">
        <v>-1.7871126675698099E-2</v>
      </c>
      <c r="AX75">
        <v>-5.6674532715868097E-3</v>
      </c>
      <c r="AY75">
        <v>-1.3110217797279699E-2</v>
      </c>
      <c r="AZ75">
        <v>-2.0580046921247801E-2</v>
      </c>
    </row>
    <row r="76" spans="1:52" x14ac:dyDescent="0.2">
      <c r="A76" t="s">
        <v>62</v>
      </c>
      <c r="B76">
        <v>2023</v>
      </c>
      <c r="C76">
        <v>65</v>
      </c>
      <c r="D76" t="s">
        <v>53</v>
      </c>
      <c r="E76">
        <v>45995</v>
      </c>
      <c r="F76">
        <v>1299</v>
      </c>
      <c r="G76">
        <v>478</v>
      </c>
      <c r="H76">
        <v>202</v>
      </c>
      <c r="I76">
        <v>39672</v>
      </c>
      <c r="J76">
        <v>1.52866666666666</v>
      </c>
      <c r="K76">
        <v>1.6768749999999999</v>
      </c>
      <c r="L76">
        <v>849.76013955516703</v>
      </c>
      <c r="M76">
        <v>120.462169213566</v>
      </c>
      <c r="N76">
        <v>8.7825772199999999E-2</v>
      </c>
      <c r="O76">
        <v>41.980719111600003</v>
      </c>
      <c r="P76">
        <v>1127.3082503037899</v>
      </c>
      <c r="Q76">
        <v>0.1431</v>
      </c>
      <c r="R76">
        <v>0.17380000000000001</v>
      </c>
      <c r="S76">
        <v>0.1239</v>
      </c>
      <c r="T76">
        <v>3.3270867000000002</v>
      </c>
      <c r="U76">
        <v>121.600675970344</v>
      </c>
      <c r="V76">
        <v>20.936325009317901</v>
      </c>
      <c r="W76">
        <v>139.67349221264001</v>
      </c>
      <c r="X76">
        <v>282.21049319230201</v>
      </c>
      <c r="Y76">
        <v>638.24436597941497</v>
      </c>
      <c r="AB76">
        <v>0.60192468522468001</v>
      </c>
      <c r="AC76" t="s">
        <v>54</v>
      </c>
      <c r="AD76">
        <v>0.60192468522468001</v>
      </c>
      <c r="AE76">
        <v>169.86946228187799</v>
      </c>
      <c r="AF76">
        <v>452.07995547418102</v>
      </c>
      <c r="AG76">
        <v>680</v>
      </c>
      <c r="AH76">
        <v>1020</v>
      </c>
      <c r="AI76">
        <v>1360</v>
      </c>
      <c r="AJ76">
        <v>748</v>
      </c>
      <c r="AK76">
        <v>1122</v>
      </c>
      <c r="AL76">
        <v>1496</v>
      </c>
      <c r="AM76">
        <f>Table1[[#This Row],[gross_cost]]-Table1[[#This Row],[CCR_single_base]]</f>
        <v>-227.92004452581898</v>
      </c>
      <c r="AN76">
        <f>Table1[[#This Row],[gross_cost]]-Table1[[#This Row],[CCR_couple_base]]</f>
        <v>-567.92004452581898</v>
      </c>
      <c r="AO76">
        <f>Table1[[#This Row],[gross_cost]]-Table1[[#This Row],[CCR_family4_rural]]</f>
        <v>-1043.9200445258189</v>
      </c>
      <c r="AP76">
        <v>-295.92004452581801</v>
      </c>
      <c r="AQ76">
        <v>-669.92004452581796</v>
      </c>
      <c r="AR76">
        <v>-1043.92004452581</v>
      </c>
      <c r="AS76">
        <f>Table1[[#This Row],[direct_tax]]/Table1[[#This Row],[total_exp]]</f>
        <v>7.1135937989590141E-3</v>
      </c>
      <c r="AT76">
        <f>Table1[[#This Row],[gross_cost]]/Table1[[#This Row],[total_exp]]</f>
        <v>1.1395441507213678E-2</v>
      </c>
      <c r="AU76">
        <v>-5.74511102353848E-3</v>
      </c>
      <c r="AV76">
        <v>-1.4315387288914501E-2</v>
      </c>
      <c r="AW76">
        <v>-2.28856635542906E-2</v>
      </c>
      <c r="AX76">
        <v>-7.4591662766137004E-3</v>
      </c>
      <c r="AY76">
        <v>-1.68864701685273E-2</v>
      </c>
      <c r="AZ76">
        <v>-2.6313774060441001E-2</v>
      </c>
    </row>
    <row r="77" spans="1:52" x14ac:dyDescent="0.2">
      <c r="A77" t="s">
        <v>62</v>
      </c>
      <c r="B77">
        <v>2024</v>
      </c>
      <c r="C77">
        <v>80</v>
      </c>
      <c r="D77" t="s">
        <v>53</v>
      </c>
      <c r="E77">
        <v>45681</v>
      </c>
      <c r="F77">
        <v>1299</v>
      </c>
      <c r="G77">
        <v>478</v>
      </c>
      <c r="H77">
        <v>202</v>
      </c>
      <c r="I77">
        <v>39672</v>
      </c>
      <c r="J77">
        <v>1.49741666666666</v>
      </c>
      <c r="K77">
        <v>1.4333750000000001</v>
      </c>
      <c r="L77">
        <v>867.49401747453896</v>
      </c>
      <c r="M77">
        <v>140.92613586814301</v>
      </c>
      <c r="N77">
        <v>8.7825772199999999E-2</v>
      </c>
      <c r="O77">
        <v>41.980719111600003</v>
      </c>
      <c r="P77">
        <v>1127.3082503037899</v>
      </c>
      <c r="Q77">
        <v>0.17610000000000001</v>
      </c>
      <c r="R77">
        <v>0.21390000000000001</v>
      </c>
      <c r="S77">
        <v>0.1525</v>
      </c>
      <c r="T77">
        <v>4.0950825000000002</v>
      </c>
      <c r="U77">
        <v>152.765696477266</v>
      </c>
      <c r="V77">
        <v>30.144100462195802</v>
      </c>
      <c r="W77">
        <v>171.91450817132801</v>
      </c>
      <c r="X77">
        <v>354.82430511079099</v>
      </c>
      <c r="Y77">
        <v>795.74832094326098</v>
      </c>
      <c r="Z77">
        <v>1156</v>
      </c>
      <c r="AA77">
        <v>0.45272062733315499</v>
      </c>
      <c r="AB77">
        <v>0.42434504825891001</v>
      </c>
      <c r="AC77" t="s">
        <v>55</v>
      </c>
      <c r="AD77">
        <v>0.45272062733315499</v>
      </c>
      <c r="AE77">
        <v>160.636282002808</v>
      </c>
      <c r="AF77">
        <v>515.46058711359899</v>
      </c>
      <c r="AG77">
        <v>752</v>
      </c>
      <c r="AH77">
        <v>1128</v>
      </c>
      <c r="AI77">
        <v>1504</v>
      </c>
      <c r="AJ77">
        <v>902.4</v>
      </c>
      <c r="AK77">
        <v>1353.6</v>
      </c>
      <c r="AL77">
        <v>1804.8</v>
      </c>
      <c r="AM77">
        <f>Table1[[#This Row],[gross_cost]]-Table1[[#This Row],[CCR_single_base]]</f>
        <v>-236.53941288640101</v>
      </c>
      <c r="AN77">
        <f>Table1[[#This Row],[gross_cost]]-Table1[[#This Row],[CCR_couple_base]]</f>
        <v>-612.53941288640101</v>
      </c>
      <c r="AO77">
        <f>Table1[[#This Row],[gross_cost]]-Table1[[#This Row],[CCR_family4_rural]]</f>
        <v>-1289.3394128864011</v>
      </c>
      <c r="AP77">
        <v>-386.93941288640002</v>
      </c>
      <c r="AQ77">
        <v>-838.13941288640001</v>
      </c>
      <c r="AR77">
        <v>-1289.3394128863999</v>
      </c>
      <c r="AS77">
        <f>Table1[[#This Row],[direct_tax]]/Table1[[#This Row],[total_exp]]</f>
        <v>8.9439480013811003E-3</v>
      </c>
      <c r="AT77">
        <f>Table1[[#This Row],[gross_cost]]/Table1[[#This Row],[total_exp]]</f>
        <v>1.2993057751401466E-2</v>
      </c>
      <c r="AU77">
        <v>-5.9623768120185697E-3</v>
      </c>
      <c r="AV77">
        <v>-1.54400940937285E-2</v>
      </c>
      <c r="AW77">
        <v>-2.4917811375438598E-2</v>
      </c>
      <c r="AX77">
        <v>-9.7534637247025796E-3</v>
      </c>
      <c r="AY77">
        <v>-2.1126724462754602E-2</v>
      </c>
      <c r="AZ77">
        <v>-3.2499985200806603E-2</v>
      </c>
    </row>
    <row r="78" spans="1:52" x14ac:dyDescent="0.2">
      <c r="A78" t="s">
        <v>62</v>
      </c>
      <c r="B78">
        <v>2025</v>
      </c>
      <c r="C78">
        <v>0</v>
      </c>
      <c r="D78" t="s">
        <v>53</v>
      </c>
      <c r="E78">
        <v>45681</v>
      </c>
      <c r="F78">
        <v>1299</v>
      </c>
      <c r="G78">
        <v>478</v>
      </c>
      <c r="H78">
        <v>202</v>
      </c>
      <c r="I78">
        <v>39672</v>
      </c>
      <c r="J78">
        <v>1.37879166666666</v>
      </c>
      <c r="K78">
        <v>1.2946249999999999</v>
      </c>
      <c r="L78">
        <v>942.129279864615</v>
      </c>
      <c r="M78">
        <v>156.02973834121801</v>
      </c>
      <c r="N78">
        <v>8.7825772199999999E-2</v>
      </c>
      <c r="O78">
        <v>41.980719111600003</v>
      </c>
      <c r="P78">
        <v>1127.3082503037899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AB78">
        <v>0</v>
      </c>
      <c r="AC78" t="s">
        <v>56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f>Table1[[#This Row],[gross_cost]]-Table1[[#This Row],[CCR_single_base]]</f>
        <v>0</v>
      </c>
      <c r="AN78">
        <f>Table1[[#This Row],[gross_cost]]-Table1[[#This Row],[CCR_couple_base]]</f>
        <v>0</v>
      </c>
      <c r="AO78">
        <f>Table1[[#This Row],[gross_cost]]-Table1[[#This Row],[CCR_family4_rural]]</f>
        <v>0</v>
      </c>
      <c r="AP78">
        <v>0</v>
      </c>
      <c r="AQ78">
        <v>0</v>
      </c>
      <c r="AR78">
        <v>0</v>
      </c>
      <c r="AS78">
        <f>Table1[[#This Row],[direct_tax]]/Table1[[#This Row],[total_exp]]</f>
        <v>0</v>
      </c>
      <c r="AT78">
        <f>Table1[[#This Row],[gross_cost]]/Table1[[#This Row],[total_exp]]</f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">
      <c r="A79" t="s">
        <v>62</v>
      </c>
      <c r="B79">
        <v>2019</v>
      </c>
      <c r="C79">
        <v>20</v>
      </c>
      <c r="D79" t="s">
        <v>57</v>
      </c>
      <c r="E79">
        <v>84008</v>
      </c>
      <c r="F79">
        <v>2164</v>
      </c>
      <c r="G79">
        <v>630</v>
      </c>
      <c r="H79">
        <v>130</v>
      </c>
      <c r="I79">
        <v>58991</v>
      </c>
      <c r="J79">
        <v>1.11154166666666</v>
      </c>
      <c r="K79">
        <v>1.1245833333333299</v>
      </c>
      <c r="L79">
        <v>1946.8455973310299</v>
      </c>
      <c r="M79">
        <v>115.59836976658001</v>
      </c>
      <c r="N79">
        <v>8.7825772199999999E-2</v>
      </c>
      <c r="O79">
        <v>55.330236485999997</v>
      </c>
      <c r="P79">
        <v>1485.7828403585499</v>
      </c>
      <c r="Q79">
        <v>4.4200000000000003E-2</v>
      </c>
      <c r="R79">
        <v>5.3699999999999998E-2</v>
      </c>
      <c r="S79">
        <v>3.9100000000000003E-2</v>
      </c>
      <c r="T79">
        <v>1.0499522999999999</v>
      </c>
      <c r="U79">
        <v>86.050575402031697</v>
      </c>
      <c r="V79">
        <v>6.2076324564653502</v>
      </c>
      <c r="W79">
        <v>58.094109058019598</v>
      </c>
      <c r="X79">
        <v>150.352316916516</v>
      </c>
      <c r="Y79">
        <v>220.21378023299499</v>
      </c>
      <c r="AB79">
        <v>1.13466359612199</v>
      </c>
      <c r="AC79" t="s">
        <v>54</v>
      </c>
      <c r="AD79">
        <v>1.13466359612199</v>
      </c>
      <c r="AE79">
        <v>170.59930059776801</v>
      </c>
      <c r="AF79">
        <v>320.95161751428401</v>
      </c>
      <c r="AG79">
        <v>305</v>
      </c>
      <c r="AH79">
        <v>457</v>
      </c>
      <c r="AI79">
        <v>609</v>
      </c>
      <c r="AJ79">
        <v>335.5</v>
      </c>
      <c r="AK79">
        <v>502.7</v>
      </c>
      <c r="AL79">
        <v>669.9</v>
      </c>
      <c r="AM79">
        <f>Table1[[#This Row],[gross_cost]]-Table1[[#This Row],[CCR_single_base]]</f>
        <v>15.95161751428401</v>
      </c>
      <c r="AN79">
        <f>Table1[[#This Row],[gross_cost]]-Table1[[#This Row],[CCR_couple_base]]</f>
        <v>-136.04838248571599</v>
      </c>
      <c r="AO79">
        <f>Table1[[#This Row],[gross_cost]]-Table1[[#This Row],[CCR_family4_rural]]</f>
        <v>-348.94838248571597</v>
      </c>
      <c r="AP79">
        <v>-14.548382485715001</v>
      </c>
      <c r="AQ79">
        <v>-181.74838248571501</v>
      </c>
      <c r="AR79">
        <v>-348.948382485715</v>
      </c>
      <c r="AS79">
        <f>Table1[[#This Row],[direct_tax]]/Table1[[#This Row],[total_exp]]</f>
        <v>2.5487331443188963E-3</v>
      </c>
      <c r="AT79">
        <f>Table1[[#This Row],[gross_cost]]/Table1[[#This Row],[total_exp]]</f>
        <v>5.4406878594070963E-3</v>
      </c>
      <c r="AU79">
        <v>2.7040764717134599E-4</v>
      </c>
      <c r="AV79">
        <v>-2.30625658974614E-3</v>
      </c>
      <c r="AW79">
        <v>-4.8829208266636401E-3</v>
      </c>
      <c r="AX79">
        <v>-2.4662037405222899E-4</v>
      </c>
      <c r="AY79">
        <v>-3.0809510346614701E-3</v>
      </c>
      <c r="AZ79">
        <v>-5.91528169527072E-3</v>
      </c>
    </row>
    <row r="80" spans="1:52" x14ac:dyDescent="0.2">
      <c r="A80" t="s">
        <v>62</v>
      </c>
      <c r="B80">
        <v>2020</v>
      </c>
      <c r="C80">
        <v>30</v>
      </c>
      <c r="D80" t="s">
        <v>57</v>
      </c>
      <c r="E80">
        <v>104603</v>
      </c>
      <c r="F80">
        <v>1969</v>
      </c>
      <c r="G80">
        <v>683</v>
      </c>
      <c r="H80">
        <v>100.75</v>
      </c>
      <c r="I80">
        <v>58773</v>
      </c>
      <c r="J80">
        <v>0.96683333333333299</v>
      </c>
      <c r="K80">
        <v>0.92245833333333305</v>
      </c>
      <c r="L80">
        <v>2036.5454232028901</v>
      </c>
      <c r="M80">
        <v>109.219025249559</v>
      </c>
      <c r="N80">
        <v>8.7825772199999999E-2</v>
      </c>
      <c r="O80">
        <v>59.985002412599997</v>
      </c>
      <c r="P80">
        <v>1610.7772697855401</v>
      </c>
      <c r="Q80">
        <v>6.6299999999999998E-2</v>
      </c>
      <c r="R80">
        <v>8.0500000000000002E-2</v>
      </c>
      <c r="S80">
        <v>5.8700000000000002E-2</v>
      </c>
      <c r="T80">
        <v>1.5762711</v>
      </c>
      <c r="U80">
        <v>135.02296155835199</v>
      </c>
      <c r="V80">
        <v>8.7921315325895399</v>
      </c>
      <c r="W80">
        <v>94.552625736411599</v>
      </c>
      <c r="X80">
        <v>238.367718827353</v>
      </c>
      <c r="Y80">
        <v>340.67203799177003</v>
      </c>
      <c r="AB80">
        <v>1.01627717147814</v>
      </c>
      <c r="AC80" t="s">
        <v>54</v>
      </c>
      <c r="AD80">
        <v>1.01627717147814</v>
      </c>
      <c r="AE80">
        <v>242.24767106156</v>
      </c>
      <c r="AF80">
        <v>480.615389888913</v>
      </c>
      <c r="AG80">
        <v>405</v>
      </c>
      <c r="AH80">
        <v>607</v>
      </c>
      <c r="AI80">
        <v>809</v>
      </c>
      <c r="AJ80">
        <v>445.5</v>
      </c>
      <c r="AK80">
        <v>667.7</v>
      </c>
      <c r="AL80">
        <v>889.9</v>
      </c>
      <c r="AM80">
        <f>Table1[[#This Row],[gross_cost]]-Table1[[#This Row],[CCR_single_base]]</f>
        <v>75.615389888913001</v>
      </c>
      <c r="AN80">
        <f>Table1[[#This Row],[gross_cost]]-Table1[[#This Row],[CCR_couple_base]]</f>
        <v>-126.384610111087</v>
      </c>
      <c r="AO80">
        <f>Table1[[#This Row],[gross_cost]]-Table1[[#This Row],[CCR_family4_rural]]</f>
        <v>-409.28461011108698</v>
      </c>
      <c r="AP80">
        <v>35.115389888913398</v>
      </c>
      <c r="AQ80">
        <v>-187.08461011108599</v>
      </c>
      <c r="AR80">
        <v>-409.28461011108601</v>
      </c>
      <c r="AS80">
        <f>Table1[[#This Row],[direct_tax]]/Table1[[#This Row],[total_exp]]</f>
        <v>4.0557350965129057E-3</v>
      </c>
      <c r="AT80">
        <f>Table1[[#This Row],[gross_cost]]/Table1[[#This Row],[total_exp]]</f>
        <v>8.1774860886616816E-3</v>
      </c>
      <c r="AU80">
        <v>1.2865667889832601E-3</v>
      </c>
      <c r="AV80">
        <v>-2.1503855530785598E-3</v>
      </c>
      <c r="AW80">
        <v>-5.5873378951403901E-3</v>
      </c>
      <c r="AX80">
        <v>5.9747485901542299E-4</v>
      </c>
      <c r="AY80">
        <v>-3.18317271725259E-3</v>
      </c>
      <c r="AZ80">
        <v>-6.9638202935206001E-3</v>
      </c>
    </row>
    <row r="81" spans="1:52" x14ac:dyDescent="0.2">
      <c r="A81" t="s">
        <v>62</v>
      </c>
      <c r="B81">
        <v>2021</v>
      </c>
      <c r="C81">
        <v>40</v>
      </c>
      <c r="D81" t="s">
        <v>57</v>
      </c>
      <c r="E81">
        <v>116864</v>
      </c>
      <c r="F81">
        <v>1774</v>
      </c>
      <c r="G81">
        <v>736</v>
      </c>
      <c r="H81">
        <v>71.5</v>
      </c>
      <c r="I81">
        <v>58555</v>
      </c>
      <c r="J81">
        <v>1.2702499999999901</v>
      </c>
      <c r="K81">
        <v>1.13225</v>
      </c>
      <c r="L81">
        <v>1396.5754772682501</v>
      </c>
      <c r="M81">
        <v>63.148597924486602</v>
      </c>
      <c r="N81">
        <v>8.7825772199999999E-2</v>
      </c>
      <c r="O81">
        <v>64.639768339200003</v>
      </c>
      <c r="P81">
        <v>1735.7716992125299</v>
      </c>
      <c r="Q81">
        <v>8.8400000000000006E-2</v>
      </c>
      <c r="R81">
        <v>0.10730000000000001</v>
      </c>
      <c r="S81">
        <v>7.8299999999999995E-2</v>
      </c>
      <c r="T81">
        <v>2.1025898999999999</v>
      </c>
      <c r="U81">
        <v>123.457272190513</v>
      </c>
      <c r="V81">
        <v>6.7758445572974102</v>
      </c>
      <c r="W81">
        <v>135.910924048341</v>
      </c>
      <c r="X81">
        <v>266.14404079615201</v>
      </c>
      <c r="Y81">
        <v>363.08303168712303</v>
      </c>
      <c r="Z81">
        <v>720</v>
      </c>
      <c r="AA81">
        <v>0.98301748405703304</v>
      </c>
      <c r="AB81">
        <v>0.89789074683429704</v>
      </c>
      <c r="AC81" t="s">
        <v>55</v>
      </c>
      <c r="AD81">
        <v>0.98301748405703304</v>
      </c>
      <c r="AE81">
        <v>261.62424538020599</v>
      </c>
      <c r="AF81">
        <v>527.76828617635897</v>
      </c>
      <c r="AG81">
        <v>500</v>
      </c>
      <c r="AH81">
        <v>750</v>
      </c>
      <c r="AI81">
        <v>1000</v>
      </c>
      <c r="AJ81">
        <v>550</v>
      </c>
      <c r="AK81">
        <v>825</v>
      </c>
      <c r="AL81">
        <v>1100</v>
      </c>
      <c r="AM81">
        <f>Table1[[#This Row],[gross_cost]]-Table1[[#This Row],[CCR_single_base]]</f>
        <v>27.76828617635897</v>
      </c>
      <c r="AN81">
        <f>Table1[[#This Row],[gross_cost]]-Table1[[#This Row],[CCR_couple_base]]</f>
        <v>-222.23171382364103</v>
      </c>
      <c r="AO81">
        <f>Table1[[#This Row],[gross_cost]]-Table1[[#This Row],[CCR_family4_rural]]</f>
        <v>-572.23171382364103</v>
      </c>
      <c r="AP81">
        <v>-22.2317138236406</v>
      </c>
      <c r="AQ81">
        <v>-297.23171382364001</v>
      </c>
      <c r="AR81">
        <v>-572.23171382364001</v>
      </c>
      <c r="AS81">
        <f>Table1[[#This Row],[direct_tax]]/Table1[[#This Row],[total_exp]]</f>
        <v>4.5451975202143629E-3</v>
      </c>
      <c r="AT81">
        <f>Table1[[#This Row],[gross_cost]]/Table1[[#This Row],[total_exp]]</f>
        <v>9.0132061510777729E-3</v>
      </c>
      <c r="AU81">
        <v>4.7422570534299901E-4</v>
      </c>
      <c r="AV81">
        <v>-3.7952645175243901E-3</v>
      </c>
      <c r="AW81">
        <v>-8.0647547403917795E-3</v>
      </c>
      <c r="AX81">
        <v>-3.7967233923047802E-4</v>
      </c>
      <c r="AY81">
        <v>-5.0761115843846096E-3</v>
      </c>
      <c r="AZ81">
        <v>-9.7725508295387307E-3</v>
      </c>
    </row>
    <row r="82" spans="1:52" x14ac:dyDescent="0.2">
      <c r="A82" t="s">
        <v>62</v>
      </c>
      <c r="B82">
        <v>2022</v>
      </c>
      <c r="C82">
        <v>50</v>
      </c>
      <c r="D82" t="s">
        <v>57</v>
      </c>
      <c r="E82">
        <v>112073</v>
      </c>
      <c r="F82">
        <v>2152</v>
      </c>
      <c r="G82">
        <v>804</v>
      </c>
      <c r="H82">
        <v>42.25</v>
      </c>
      <c r="I82">
        <v>59894.5</v>
      </c>
      <c r="J82">
        <v>1.651875</v>
      </c>
      <c r="K82">
        <v>1.74491666666666</v>
      </c>
      <c r="L82">
        <v>1302.7620128641599</v>
      </c>
      <c r="M82">
        <v>24.213190696785901</v>
      </c>
      <c r="N82">
        <v>8.7825772199999999E-2</v>
      </c>
      <c r="O82">
        <v>70.611920848799997</v>
      </c>
      <c r="P82">
        <v>1896.14191055282</v>
      </c>
      <c r="Q82">
        <v>0.1105</v>
      </c>
      <c r="R82">
        <v>0.1341</v>
      </c>
      <c r="S82">
        <v>9.7900000000000001E-2</v>
      </c>
      <c r="T82">
        <v>2.6289087000000002</v>
      </c>
      <c r="U82">
        <v>143.95520242148999</v>
      </c>
      <c r="V82">
        <v>3.2469888724389802</v>
      </c>
      <c r="W82">
        <v>185.632293043121</v>
      </c>
      <c r="X82">
        <v>332.83448433705098</v>
      </c>
      <c r="Y82">
        <v>440.57570003126</v>
      </c>
      <c r="Z82">
        <v>734</v>
      </c>
      <c r="AA82">
        <v>0.66600200589346903</v>
      </c>
      <c r="AB82">
        <v>0.77950432219044996</v>
      </c>
      <c r="AC82" t="s">
        <v>55</v>
      </c>
      <c r="AD82">
        <v>0.66600200589346903</v>
      </c>
      <c r="AE82">
        <v>221.66843419899399</v>
      </c>
      <c r="AF82">
        <v>554.50291853604597</v>
      </c>
      <c r="AG82">
        <v>550</v>
      </c>
      <c r="AH82">
        <v>825</v>
      </c>
      <c r="AI82">
        <v>1101</v>
      </c>
      <c r="AJ82">
        <v>605</v>
      </c>
      <c r="AK82">
        <v>907.5</v>
      </c>
      <c r="AL82">
        <v>1211.0999999999999</v>
      </c>
      <c r="AM82">
        <f>Table1[[#This Row],[gross_cost]]-Table1[[#This Row],[CCR_single_base]]</f>
        <v>4.5029185360459678</v>
      </c>
      <c r="AN82">
        <f>Table1[[#This Row],[gross_cost]]-Table1[[#This Row],[CCR_couple_base]]</f>
        <v>-270.49708146395403</v>
      </c>
      <c r="AO82">
        <f>Table1[[#This Row],[gross_cost]]-Table1[[#This Row],[CCR_family4_rural]]</f>
        <v>-656.59708146395394</v>
      </c>
      <c r="AP82">
        <v>-50.497081463953599</v>
      </c>
      <c r="AQ82">
        <v>-352.99708146395301</v>
      </c>
      <c r="AR82">
        <v>-656.59708146395303</v>
      </c>
      <c r="AS82">
        <f>Table1[[#This Row],[direct_tax]]/Table1[[#This Row],[total_exp]]</f>
        <v>5.5570124859052328E-3</v>
      </c>
      <c r="AT82">
        <f>Table1[[#This Row],[gross_cost]]/Table1[[#This Row],[total_exp]]</f>
        <v>9.2579939482931809E-3</v>
      </c>
      <c r="AU82" s="1">
        <v>7.5180835236061895E-5</v>
      </c>
      <c r="AV82">
        <v>-4.5162257212925001E-3</v>
      </c>
      <c r="AW82">
        <v>-9.1243283016629803E-3</v>
      </c>
      <c r="AX82">
        <v>-8.4310047606965001E-4</v>
      </c>
      <c r="AY82">
        <v>-5.89364768825107E-3</v>
      </c>
      <c r="AZ82">
        <v>-1.09625605266586E-2</v>
      </c>
    </row>
    <row r="83" spans="1:52" x14ac:dyDescent="0.2">
      <c r="A83" t="s">
        <v>62</v>
      </c>
      <c r="B83">
        <v>2023</v>
      </c>
      <c r="C83">
        <v>65</v>
      </c>
      <c r="D83" t="s">
        <v>57</v>
      </c>
      <c r="E83">
        <v>125575</v>
      </c>
      <c r="F83">
        <v>2530</v>
      </c>
      <c r="G83">
        <v>872</v>
      </c>
      <c r="H83">
        <v>13</v>
      </c>
      <c r="I83">
        <v>61234</v>
      </c>
      <c r="J83">
        <v>1.52866666666666</v>
      </c>
      <c r="K83">
        <v>1.6768749999999999</v>
      </c>
      <c r="L83">
        <v>1655.03706934147</v>
      </c>
      <c r="M83">
        <v>7.75251584047707</v>
      </c>
      <c r="N83">
        <v>8.7825772199999999E-2</v>
      </c>
      <c r="O83">
        <v>76.584073358400005</v>
      </c>
      <c r="P83">
        <v>2056.5121218931099</v>
      </c>
      <c r="Q83">
        <v>0.1431</v>
      </c>
      <c r="R83">
        <v>0.17380000000000001</v>
      </c>
      <c r="S83">
        <v>0.1239</v>
      </c>
      <c r="T83">
        <v>3.3270867000000002</v>
      </c>
      <c r="U83">
        <v>236.83580462276399</v>
      </c>
      <c r="V83">
        <v>1.34738725307491</v>
      </c>
      <c r="W83">
        <v>254.80185190255699</v>
      </c>
      <c r="X83">
        <v>492.985043778396</v>
      </c>
      <c r="Y83">
        <v>638.24436597941497</v>
      </c>
      <c r="AB83">
        <v>0.60192468522468001</v>
      </c>
      <c r="AC83" t="s">
        <v>54</v>
      </c>
      <c r="AD83">
        <v>0.60192468522468001</v>
      </c>
      <c r="AE83">
        <v>296.73986729678597</v>
      </c>
      <c r="AF83">
        <v>789.72491107518294</v>
      </c>
      <c r="AG83">
        <v>680</v>
      </c>
      <c r="AH83">
        <v>1020</v>
      </c>
      <c r="AI83">
        <v>1360</v>
      </c>
      <c r="AJ83">
        <v>748</v>
      </c>
      <c r="AK83">
        <v>1122</v>
      </c>
      <c r="AL83">
        <v>1496</v>
      </c>
      <c r="AM83">
        <f>Table1[[#This Row],[gross_cost]]-Table1[[#This Row],[CCR_single_base]]</f>
        <v>109.72491107518294</v>
      </c>
      <c r="AN83">
        <f>Table1[[#This Row],[gross_cost]]-Table1[[#This Row],[CCR_couple_base]]</f>
        <v>-230.27508892481706</v>
      </c>
      <c r="AO83">
        <f>Table1[[#This Row],[gross_cost]]-Table1[[#This Row],[CCR_family4_rural]]</f>
        <v>-706.27508892481706</v>
      </c>
      <c r="AP83">
        <v>41.724911075183599</v>
      </c>
      <c r="AQ83">
        <v>-332.27508892481598</v>
      </c>
      <c r="AR83">
        <v>-706.27508892481603</v>
      </c>
      <c r="AS83">
        <f>Table1[[#This Row],[direct_tax]]/Table1[[#This Row],[total_exp]]</f>
        <v>8.0508384848024962E-3</v>
      </c>
      <c r="AT83">
        <f>Table1[[#This Row],[gross_cost]]/Table1[[#This Row],[total_exp]]</f>
        <v>1.289683690556199E-2</v>
      </c>
      <c r="AU83">
        <v>1.7918952065059199E-3</v>
      </c>
      <c r="AV83">
        <v>-3.7605756430221099E-3</v>
      </c>
      <c r="AW83">
        <v>-9.3130464925501501E-3</v>
      </c>
      <c r="AX83">
        <v>6.8140103660031402E-4</v>
      </c>
      <c r="AY83">
        <v>-5.4263168978805204E-3</v>
      </c>
      <c r="AZ83">
        <v>-1.15340348323613E-2</v>
      </c>
    </row>
    <row r="84" spans="1:52" x14ac:dyDescent="0.2">
      <c r="A84" t="s">
        <v>62</v>
      </c>
      <c r="B84">
        <v>2024</v>
      </c>
      <c r="C84">
        <v>80</v>
      </c>
      <c r="D84" t="s">
        <v>57</v>
      </c>
      <c r="E84">
        <v>129613</v>
      </c>
      <c r="F84">
        <v>2530</v>
      </c>
      <c r="G84">
        <v>872</v>
      </c>
      <c r="H84">
        <v>13</v>
      </c>
      <c r="I84">
        <v>61234</v>
      </c>
      <c r="J84">
        <v>1.49741666666666</v>
      </c>
      <c r="K84">
        <v>1.4333750000000001</v>
      </c>
      <c r="L84">
        <v>1689.5764928487899</v>
      </c>
      <c r="M84">
        <v>9.0695037934943699</v>
      </c>
      <c r="N84">
        <v>8.7825772199999999E-2</v>
      </c>
      <c r="O84">
        <v>76.584073358400005</v>
      </c>
      <c r="P84">
        <v>2056.5121218931099</v>
      </c>
      <c r="Q84">
        <v>0.17610000000000001</v>
      </c>
      <c r="R84">
        <v>0.21390000000000001</v>
      </c>
      <c r="S84">
        <v>0.1525</v>
      </c>
      <c r="T84">
        <v>4.0950825000000002</v>
      </c>
      <c r="U84">
        <v>297.53442039067198</v>
      </c>
      <c r="V84">
        <v>1.93996686142844</v>
      </c>
      <c r="W84">
        <v>313.61809858869998</v>
      </c>
      <c r="X84">
        <v>613.09248584080103</v>
      </c>
      <c r="Y84">
        <v>795.74832094326098</v>
      </c>
      <c r="Z84">
        <v>1156</v>
      </c>
      <c r="AA84">
        <v>0.45272062733315499</v>
      </c>
      <c r="AB84">
        <v>0.42434504825891001</v>
      </c>
      <c r="AC84" t="s">
        <v>55</v>
      </c>
      <c r="AD84">
        <v>0.45272062733315499</v>
      </c>
      <c r="AE84">
        <v>277.55961480309099</v>
      </c>
      <c r="AF84">
        <v>890.65210064389203</v>
      </c>
      <c r="AG84">
        <v>752</v>
      </c>
      <c r="AH84">
        <v>1128</v>
      </c>
      <c r="AI84">
        <v>1504</v>
      </c>
      <c r="AJ84">
        <v>902.4</v>
      </c>
      <c r="AK84">
        <v>1353.6</v>
      </c>
      <c r="AL84">
        <v>1804.8</v>
      </c>
      <c r="AM84">
        <f>Table1[[#This Row],[gross_cost]]-Table1[[#This Row],[CCR_single_base]]</f>
        <v>138.65210064389203</v>
      </c>
      <c r="AN84">
        <f>Table1[[#This Row],[gross_cost]]-Table1[[#This Row],[CCR_couple_base]]</f>
        <v>-237.34789935610797</v>
      </c>
      <c r="AO84">
        <f>Table1[[#This Row],[gross_cost]]-Table1[[#This Row],[CCR_family4_rural]]</f>
        <v>-914.14789935610793</v>
      </c>
      <c r="AP84">
        <v>-11.747899356107601</v>
      </c>
      <c r="AQ84">
        <v>-462.94789935610697</v>
      </c>
      <c r="AR84">
        <v>-914.14789935610702</v>
      </c>
      <c r="AS84">
        <f>Table1[[#This Row],[direct_tax]]/Table1[[#This Row],[total_exp]]</f>
        <v>1.0012288693222736E-2</v>
      </c>
      <c r="AT84">
        <f>Table1[[#This Row],[gross_cost]]/Table1[[#This Row],[total_exp]]</f>
        <v>1.454505831145919E-2</v>
      </c>
      <c r="AU84">
        <v>2.26429925603247E-3</v>
      </c>
      <c r="AV84">
        <v>-3.8760802716808901E-3</v>
      </c>
      <c r="AW84">
        <v>-1.00164597993942E-2</v>
      </c>
      <c r="AX84">
        <v>-1.91852555052872E-4</v>
      </c>
      <c r="AY84">
        <v>-7.5603079883088996E-3</v>
      </c>
      <c r="AZ84">
        <v>-1.49287634215649E-2</v>
      </c>
    </row>
    <row r="85" spans="1:52" x14ac:dyDescent="0.2">
      <c r="A85" t="s">
        <v>62</v>
      </c>
      <c r="B85">
        <v>2025</v>
      </c>
      <c r="C85">
        <v>0</v>
      </c>
      <c r="D85" t="s">
        <v>57</v>
      </c>
      <c r="E85">
        <v>129613</v>
      </c>
      <c r="F85">
        <v>2530</v>
      </c>
      <c r="G85">
        <v>872</v>
      </c>
      <c r="H85">
        <v>13</v>
      </c>
      <c r="I85">
        <v>61234</v>
      </c>
      <c r="J85">
        <v>1.37879166666666</v>
      </c>
      <c r="K85">
        <v>1.2946249999999999</v>
      </c>
      <c r="L85">
        <v>1834.94001390106</v>
      </c>
      <c r="M85">
        <v>10.0415178140388</v>
      </c>
      <c r="N85">
        <v>8.7825772199999999E-2</v>
      </c>
      <c r="O85">
        <v>76.584073358400005</v>
      </c>
      <c r="P85">
        <v>2056.5121218931099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AB85">
        <v>0</v>
      </c>
      <c r="AC85" t="s">
        <v>56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f>Table1[[#This Row],[gross_cost]]-Table1[[#This Row],[CCR_single_base]]</f>
        <v>0</v>
      </c>
      <c r="AN85">
        <f>Table1[[#This Row],[gross_cost]]-Table1[[#This Row],[CCR_couple_base]]</f>
        <v>0</v>
      </c>
      <c r="AO85">
        <f>Table1[[#This Row],[gross_cost]]-Table1[[#This Row],[CCR_family4_rural]]</f>
        <v>0</v>
      </c>
      <c r="AP85">
        <v>0</v>
      </c>
      <c r="AQ85">
        <v>0</v>
      </c>
      <c r="AR85">
        <v>0</v>
      </c>
      <c r="AS85">
        <f>Table1[[#This Row],[direct_tax]]/Table1[[#This Row],[total_exp]]</f>
        <v>0</v>
      </c>
      <c r="AT85">
        <f>Table1[[#This Row],[gross_cost]]/Table1[[#This Row],[total_exp]]</f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">
      <c r="A86" t="s">
        <v>62</v>
      </c>
      <c r="B86">
        <v>2019</v>
      </c>
      <c r="C86">
        <v>20</v>
      </c>
      <c r="D86" t="s">
        <v>58</v>
      </c>
      <c r="E86">
        <v>99012</v>
      </c>
      <c r="F86">
        <v>2844</v>
      </c>
      <c r="G86">
        <v>821</v>
      </c>
      <c r="H86">
        <v>77</v>
      </c>
      <c r="I86">
        <v>79056</v>
      </c>
      <c r="J86">
        <v>1.11154166666666</v>
      </c>
      <c r="K86">
        <v>1.1245833333333299</v>
      </c>
      <c r="L86">
        <v>2558.6085391910601</v>
      </c>
      <c r="M86">
        <v>68.469803630974397</v>
      </c>
      <c r="N86">
        <v>8.7825772199999999E-2</v>
      </c>
      <c r="O86">
        <v>72.104958976199995</v>
      </c>
      <c r="P86">
        <v>1936.2344633878899</v>
      </c>
      <c r="Q86">
        <v>4.4200000000000003E-2</v>
      </c>
      <c r="R86">
        <v>5.3699999999999998E-2</v>
      </c>
      <c r="S86">
        <v>3.9100000000000003E-2</v>
      </c>
      <c r="T86">
        <v>1.0499522999999999</v>
      </c>
      <c r="U86">
        <v>113.090497432245</v>
      </c>
      <c r="V86">
        <v>3.6768284549833199</v>
      </c>
      <c r="W86">
        <v>75.706767518466805</v>
      </c>
      <c r="X86">
        <v>192.47409340569499</v>
      </c>
      <c r="Y86">
        <v>220.21378023299499</v>
      </c>
      <c r="AB86">
        <v>1.13466359612199</v>
      </c>
      <c r="AC86" t="s">
        <v>54</v>
      </c>
      <c r="AD86">
        <v>1.13466359612199</v>
      </c>
      <c r="AE86">
        <v>218.39334698402601</v>
      </c>
      <c r="AF86">
        <v>410.86744038972103</v>
      </c>
      <c r="AG86">
        <v>305</v>
      </c>
      <c r="AH86">
        <v>457</v>
      </c>
      <c r="AI86">
        <v>609</v>
      </c>
      <c r="AJ86">
        <v>335.5</v>
      </c>
      <c r="AK86">
        <v>502.7</v>
      </c>
      <c r="AL86">
        <v>669.9</v>
      </c>
      <c r="AM86">
        <f>Table1[[#This Row],[gross_cost]]-Table1[[#This Row],[CCR_single_base]]</f>
        <v>105.86744038972103</v>
      </c>
      <c r="AN86">
        <f>Table1[[#This Row],[gross_cost]]-Table1[[#This Row],[CCR_couple_base]]</f>
        <v>-46.132559610278975</v>
      </c>
      <c r="AO86">
        <f>Table1[[#This Row],[gross_cost]]-Table1[[#This Row],[CCR_family4_rural]]</f>
        <v>-259.03255961027895</v>
      </c>
      <c r="AP86">
        <v>75.367440389721295</v>
      </c>
      <c r="AQ86">
        <v>-91.832559610278693</v>
      </c>
      <c r="AR86">
        <v>-259.03255961027799</v>
      </c>
      <c r="AS86">
        <f>Table1[[#This Row],[direct_tax]]/Table1[[#This Row],[total_exp]]</f>
        <v>2.4346550977243347E-3</v>
      </c>
      <c r="AT86">
        <f>Table1[[#This Row],[gross_cost]]/Table1[[#This Row],[total_exp]]</f>
        <v>5.1971696062249675E-3</v>
      </c>
      <c r="AU86">
        <v>1.33914491486694E-3</v>
      </c>
      <c r="AV86">
        <v>-5.8354280017049501E-4</v>
      </c>
      <c r="AW86">
        <v>-2.5062305152079301E-3</v>
      </c>
      <c r="AX86">
        <v>9.53342445731143E-4</v>
      </c>
      <c r="AY86">
        <v>-1.1616140408100401E-3</v>
      </c>
      <c r="AZ86">
        <v>-3.2765705273512199E-3</v>
      </c>
    </row>
    <row r="87" spans="1:52" x14ac:dyDescent="0.2">
      <c r="A87" t="s">
        <v>62</v>
      </c>
      <c r="B87">
        <v>2020</v>
      </c>
      <c r="C87">
        <v>30</v>
      </c>
      <c r="D87" t="s">
        <v>58</v>
      </c>
      <c r="E87">
        <v>101501</v>
      </c>
      <c r="F87">
        <v>2712.5</v>
      </c>
      <c r="G87">
        <v>825.5</v>
      </c>
      <c r="H87">
        <v>67</v>
      </c>
      <c r="I87">
        <v>75430</v>
      </c>
      <c r="J87">
        <v>0.96683333333333299</v>
      </c>
      <c r="K87">
        <v>0.92245833333333305</v>
      </c>
      <c r="L87">
        <v>2805.55076710911</v>
      </c>
      <c r="M87">
        <v>72.632006865712</v>
      </c>
      <c r="N87">
        <v>8.7825772199999999E-2</v>
      </c>
      <c r="O87">
        <v>72.500174951099893</v>
      </c>
      <c r="P87">
        <v>1946.8471979618801</v>
      </c>
      <c r="Q87">
        <v>6.6299999999999998E-2</v>
      </c>
      <c r="R87">
        <v>8.0500000000000002E-2</v>
      </c>
      <c r="S87">
        <v>5.8700000000000002E-2</v>
      </c>
      <c r="T87">
        <v>1.5762711</v>
      </c>
      <c r="U87">
        <v>186.00801585933399</v>
      </c>
      <c r="V87">
        <v>5.8468765526898201</v>
      </c>
      <c r="W87">
        <v>114.279930520362</v>
      </c>
      <c r="X87">
        <v>306.13482293238701</v>
      </c>
      <c r="Y87">
        <v>340.67203799177003</v>
      </c>
      <c r="AB87">
        <v>1.01627717147814</v>
      </c>
      <c r="AC87" t="s">
        <v>54</v>
      </c>
      <c r="AD87">
        <v>1.01627717147814</v>
      </c>
      <c r="AE87">
        <v>311.11783194068897</v>
      </c>
      <c r="AF87">
        <v>617.25265487307604</v>
      </c>
      <c r="AG87">
        <v>405</v>
      </c>
      <c r="AH87">
        <v>607</v>
      </c>
      <c r="AI87">
        <v>809</v>
      </c>
      <c r="AJ87">
        <v>445.5</v>
      </c>
      <c r="AK87">
        <v>667.7</v>
      </c>
      <c r="AL87">
        <v>889.9</v>
      </c>
      <c r="AM87">
        <f>Table1[[#This Row],[gross_cost]]-Table1[[#This Row],[CCR_single_base]]</f>
        <v>212.25265487307604</v>
      </c>
      <c r="AN87">
        <f>Table1[[#This Row],[gross_cost]]-Table1[[#This Row],[CCR_couple_base]]</f>
        <v>10.25265487307604</v>
      </c>
      <c r="AO87">
        <f>Table1[[#This Row],[gross_cost]]-Table1[[#This Row],[CCR_family4_rural]]</f>
        <v>-272.64734512692394</v>
      </c>
      <c r="AP87">
        <v>171.75265487307601</v>
      </c>
      <c r="AQ87">
        <v>-50.447345126923501</v>
      </c>
      <c r="AR87">
        <v>-272.64734512692303</v>
      </c>
      <c r="AS87">
        <f>Table1[[#This Row],[direct_tax]]/Table1[[#This Row],[total_exp]]</f>
        <v>4.0585287409835216E-3</v>
      </c>
      <c r="AT87">
        <f>Table1[[#This Row],[gross_cost]]/Table1[[#This Row],[total_exp]]</f>
        <v>8.1831188502330121E-3</v>
      </c>
      <c r="AU87">
        <v>2.8139023581211201E-3</v>
      </c>
      <c r="AV87">
        <v>1.3592277440111999E-4</v>
      </c>
      <c r="AW87">
        <v>-2.5420568093188801E-3</v>
      </c>
      <c r="AX87">
        <v>2.27698070890993E-3</v>
      </c>
      <c r="AY87">
        <v>-6.6879683318207003E-4</v>
      </c>
      <c r="AZ87">
        <v>-3.6145743752740698E-3</v>
      </c>
    </row>
    <row r="88" spans="1:52" x14ac:dyDescent="0.2">
      <c r="A88" t="s">
        <v>62</v>
      </c>
      <c r="B88">
        <v>2021</v>
      </c>
      <c r="C88">
        <v>40</v>
      </c>
      <c r="D88" t="s">
        <v>58</v>
      </c>
      <c r="E88">
        <v>116773</v>
      </c>
      <c r="F88">
        <v>2581</v>
      </c>
      <c r="G88">
        <v>830</v>
      </c>
      <c r="H88">
        <v>57</v>
      </c>
      <c r="I88">
        <v>71804</v>
      </c>
      <c r="J88">
        <v>1.2702499999999901</v>
      </c>
      <c r="K88">
        <v>1.13225</v>
      </c>
      <c r="L88">
        <v>2031.88348750246</v>
      </c>
      <c r="M88">
        <v>50.342238904835497</v>
      </c>
      <c r="N88">
        <v>8.7825772199999999E-2</v>
      </c>
      <c r="O88">
        <v>72.895390926000005</v>
      </c>
      <c r="P88">
        <v>1957.4599325358699</v>
      </c>
      <c r="Q88">
        <v>8.8400000000000006E-2</v>
      </c>
      <c r="R88">
        <v>0.10730000000000001</v>
      </c>
      <c r="S88">
        <v>7.8299999999999995E-2</v>
      </c>
      <c r="T88">
        <v>2.1025898999999999</v>
      </c>
      <c r="U88">
        <v>179.61850029521699</v>
      </c>
      <c r="V88">
        <v>5.40172223448885</v>
      </c>
      <c r="W88">
        <v>153.26911271755901</v>
      </c>
      <c r="X88">
        <v>338.289335247265</v>
      </c>
      <c r="Y88">
        <v>363.08303168712303</v>
      </c>
      <c r="Z88">
        <v>720</v>
      </c>
      <c r="AA88">
        <v>0.98301748405703304</v>
      </c>
      <c r="AB88">
        <v>0.89789074683429704</v>
      </c>
      <c r="AC88" t="s">
        <v>55</v>
      </c>
      <c r="AD88">
        <v>0.98301748405703304</v>
      </c>
      <c r="AE88">
        <v>332.54433121809302</v>
      </c>
      <c r="AF88">
        <v>670.83366646535796</v>
      </c>
      <c r="AG88">
        <v>500</v>
      </c>
      <c r="AH88">
        <v>750</v>
      </c>
      <c r="AI88">
        <v>1000</v>
      </c>
      <c r="AJ88">
        <v>550</v>
      </c>
      <c r="AK88">
        <v>825</v>
      </c>
      <c r="AL88">
        <v>1100</v>
      </c>
      <c r="AM88">
        <f>Table1[[#This Row],[gross_cost]]-Table1[[#This Row],[CCR_single_base]]</f>
        <v>170.83366646535796</v>
      </c>
      <c r="AN88">
        <f>Table1[[#This Row],[gross_cost]]-Table1[[#This Row],[CCR_couple_base]]</f>
        <v>-79.166333534642035</v>
      </c>
      <c r="AO88">
        <f>Table1[[#This Row],[gross_cost]]-Table1[[#This Row],[CCR_family4_rural]]</f>
        <v>-429.16633353464204</v>
      </c>
      <c r="AP88">
        <v>120.83366646535799</v>
      </c>
      <c r="AQ88">
        <v>-154.16633353464101</v>
      </c>
      <c r="AR88">
        <v>-429.16633353464101</v>
      </c>
      <c r="AS88">
        <f>Table1[[#This Row],[direct_tax]]/Table1[[#This Row],[total_exp]]</f>
        <v>4.7112881628776256E-3</v>
      </c>
      <c r="AT88">
        <f>Table1[[#This Row],[gross_cost]]/Table1[[#This Row],[total_exp]]</f>
        <v>9.3425667994172738E-3</v>
      </c>
      <c r="AU88">
        <v>2.37916643174974E-3</v>
      </c>
      <c r="AV88">
        <v>-1.10253375208402E-3</v>
      </c>
      <c r="AW88">
        <v>-4.5842339359177904E-3</v>
      </c>
      <c r="AX88">
        <v>1.68282639498299E-3</v>
      </c>
      <c r="AY88">
        <v>-2.1470438072341501E-3</v>
      </c>
      <c r="AZ88">
        <v>-5.9769140094512998E-3</v>
      </c>
    </row>
    <row r="89" spans="1:52" x14ac:dyDescent="0.2">
      <c r="A89" t="s">
        <v>62</v>
      </c>
      <c r="B89">
        <v>2022</v>
      </c>
      <c r="C89">
        <v>50</v>
      </c>
      <c r="D89" t="s">
        <v>58</v>
      </c>
      <c r="E89">
        <v>114251</v>
      </c>
      <c r="F89">
        <v>2954</v>
      </c>
      <c r="G89">
        <v>826</v>
      </c>
      <c r="H89">
        <v>47</v>
      </c>
      <c r="I89">
        <v>74597.5</v>
      </c>
      <c r="J89">
        <v>1.651875</v>
      </c>
      <c r="K89">
        <v>1.74491666666666</v>
      </c>
      <c r="L89">
        <v>1788.27090427544</v>
      </c>
      <c r="M89">
        <v>26.935383733702601</v>
      </c>
      <c r="N89">
        <v>8.7825772199999999E-2</v>
      </c>
      <c r="O89">
        <v>72.544087837199996</v>
      </c>
      <c r="P89">
        <v>1948.0263906923301</v>
      </c>
      <c r="Q89">
        <v>0.1105</v>
      </c>
      <c r="R89">
        <v>0.1341</v>
      </c>
      <c r="S89">
        <v>9.7900000000000001E-2</v>
      </c>
      <c r="T89">
        <v>2.6289087000000002</v>
      </c>
      <c r="U89">
        <v>197.603934922436</v>
      </c>
      <c r="V89">
        <v>3.6120349586895202</v>
      </c>
      <c r="W89">
        <v>190.711783648779</v>
      </c>
      <c r="X89">
        <v>391.92775352990498</v>
      </c>
      <c r="Y89">
        <v>440.57570003126</v>
      </c>
      <c r="Z89">
        <v>734</v>
      </c>
      <c r="AA89">
        <v>0.66600200589346903</v>
      </c>
      <c r="AB89">
        <v>0.77950432219044996</v>
      </c>
      <c r="AC89" t="s">
        <v>55</v>
      </c>
      <c r="AD89">
        <v>0.66600200589346903</v>
      </c>
      <c r="AE89">
        <v>261.02467001623802</v>
      </c>
      <c r="AF89">
        <v>652.952423546143</v>
      </c>
      <c r="AG89">
        <v>550</v>
      </c>
      <c r="AH89">
        <v>825</v>
      </c>
      <c r="AI89">
        <v>1101</v>
      </c>
      <c r="AJ89">
        <v>605</v>
      </c>
      <c r="AK89">
        <v>907.5</v>
      </c>
      <c r="AL89">
        <v>1211.0999999999999</v>
      </c>
      <c r="AM89">
        <f>Table1[[#This Row],[gross_cost]]-Table1[[#This Row],[CCR_single_base]]</f>
        <v>102.952423546143</v>
      </c>
      <c r="AN89">
        <f>Table1[[#This Row],[gross_cost]]-Table1[[#This Row],[CCR_couple_base]]</f>
        <v>-172.047576453857</v>
      </c>
      <c r="AO89">
        <f>Table1[[#This Row],[gross_cost]]-Table1[[#This Row],[CCR_family4_rural]]</f>
        <v>-558.14757645385691</v>
      </c>
      <c r="AP89">
        <v>47.952423546143699</v>
      </c>
      <c r="AQ89">
        <v>-254.54757645385601</v>
      </c>
      <c r="AR89">
        <v>-558.147576453856</v>
      </c>
      <c r="AS89">
        <f>Table1[[#This Row],[direct_tax]]/Table1[[#This Row],[total_exp]]</f>
        <v>5.2538993066779047E-3</v>
      </c>
      <c r="AT89">
        <f>Table1[[#This Row],[gross_cost]]/Table1[[#This Row],[total_exp]]</f>
        <v>8.753006783687697E-3</v>
      </c>
      <c r="AU89">
        <v>1.3801055470510899E-3</v>
      </c>
      <c r="AV89">
        <v>-2.30634507126721E-3</v>
      </c>
      <c r="AW89">
        <v>-6.0062009645612197E-3</v>
      </c>
      <c r="AX89">
        <v>6.4281542338742899E-4</v>
      </c>
      <c r="AY89">
        <v>-3.4122802567627098E-3</v>
      </c>
      <c r="AZ89">
        <v>-7.4821217393861196E-3</v>
      </c>
    </row>
    <row r="90" spans="1:52" x14ac:dyDescent="0.2">
      <c r="A90" t="s">
        <v>62</v>
      </c>
      <c r="B90">
        <v>2023</v>
      </c>
      <c r="C90">
        <v>65</v>
      </c>
      <c r="D90" t="s">
        <v>58</v>
      </c>
      <c r="E90">
        <v>115475</v>
      </c>
      <c r="F90">
        <v>3327</v>
      </c>
      <c r="G90">
        <v>822</v>
      </c>
      <c r="H90">
        <v>37</v>
      </c>
      <c r="I90">
        <v>77391</v>
      </c>
      <c r="J90">
        <v>1.52866666666666</v>
      </c>
      <c r="K90">
        <v>1.6768749999999999</v>
      </c>
      <c r="L90">
        <v>2176.4064544265102</v>
      </c>
      <c r="M90">
        <v>22.064852776742399</v>
      </c>
      <c r="N90">
        <v>8.7825772199999999E-2</v>
      </c>
      <c r="O90">
        <v>72.192784748400001</v>
      </c>
      <c r="P90">
        <v>1938.59284884878</v>
      </c>
      <c r="Q90">
        <v>0.1431</v>
      </c>
      <c r="R90">
        <v>0.17380000000000001</v>
      </c>
      <c r="S90">
        <v>0.1239</v>
      </c>
      <c r="T90">
        <v>3.3270867000000002</v>
      </c>
      <c r="U90">
        <v>311.443763628434</v>
      </c>
      <c r="V90">
        <v>3.8348714125978298</v>
      </c>
      <c r="W90">
        <v>240.19165397236401</v>
      </c>
      <c r="X90">
        <v>555.47028901339604</v>
      </c>
      <c r="Y90">
        <v>638.24436597941497</v>
      </c>
      <c r="AB90">
        <v>0.60192468522468001</v>
      </c>
      <c r="AC90" t="s">
        <v>54</v>
      </c>
      <c r="AD90">
        <v>0.60192468522468001</v>
      </c>
      <c r="AE90">
        <v>334.35127886605102</v>
      </c>
      <c r="AF90">
        <v>889.821567879447</v>
      </c>
      <c r="AG90">
        <v>680</v>
      </c>
      <c r="AH90">
        <v>1020</v>
      </c>
      <c r="AI90">
        <v>1360</v>
      </c>
      <c r="AJ90">
        <v>748</v>
      </c>
      <c r="AK90">
        <v>1122</v>
      </c>
      <c r="AL90">
        <v>1496</v>
      </c>
      <c r="AM90">
        <f>Table1[[#This Row],[gross_cost]]-Table1[[#This Row],[CCR_single_base]]</f>
        <v>209.821567879447</v>
      </c>
      <c r="AN90">
        <f>Table1[[#This Row],[gross_cost]]-Table1[[#This Row],[CCR_couple_base]]</f>
        <v>-130.178432120553</v>
      </c>
      <c r="AO90">
        <f>Table1[[#This Row],[gross_cost]]-Table1[[#This Row],[CCR_family4_rural]]</f>
        <v>-606.178432120553</v>
      </c>
      <c r="AP90">
        <v>141.821567879447</v>
      </c>
      <c r="AQ90">
        <v>-232.178432120552</v>
      </c>
      <c r="AR90">
        <v>-606.17843212055197</v>
      </c>
      <c r="AS90">
        <f>Table1[[#This Row],[direct_tax]]/Table1[[#This Row],[total_exp]]</f>
        <v>7.1774533086973423E-3</v>
      </c>
      <c r="AT90">
        <f>Table1[[#This Row],[gross_cost]]/Table1[[#This Row],[total_exp]]</f>
        <v>1.1497739632249836E-2</v>
      </c>
      <c r="AU90">
        <v>2.7111882244634099E-3</v>
      </c>
      <c r="AV90">
        <v>-1.6820874794298E-3</v>
      </c>
      <c r="AW90">
        <v>-6.0753631833230202E-3</v>
      </c>
      <c r="AX90">
        <v>1.83253308368476E-3</v>
      </c>
      <c r="AY90">
        <v>-3.0000701905977699E-3</v>
      </c>
      <c r="AZ90">
        <v>-7.8326734648803097E-3</v>
      </c>
    </row>
    <row r="91" spans="1:52" x14ac:dyDescent="0.2">
      <c r="A91" t="s">
        <v>62</v>
      </c>
      <c r="B91">
        <v>2024</v>
      </c>
      <c r="C91">
        <v>80</v>
      </c>
      <c r="D91" t="s">
        <v>58</v>
      </c>
      <c r="E91">
        <v>117896</v>
      </c>
      <c r="F91">
        <v>3327</v>
      </c>
      <c r="G91">
        <v>822</v>
      </c>
      <c r="H91">
        <v>37</v>
      </c>
      <c r="I91">
        <v>77391</v>
      </c>
      <c r="J91">
        <v>1.49741666666666</v>
      </c>
      <c r="K91">
        <v>1.4333750000000001</v>
      </c>
      <c r="L91">
        <v>2221.82647893594</v>
      </c>
      <c r="M91">
        <v>25.813203104560898</v>
      </c>
      <c r="N91">
        <v>8.7825772199999999E-2</v>
      </c>
      <c r="O91">
        <v>72.192784748400001</v>
      </c>
      <c r="P91">
        <v>1938.59284884878</v>
      </c>
      <c r="Q91">
        <v>0.17610000000000001</v>
      </c>
      <c r="R91">
        <v>0.21390000000000001</v>
      </c>
      <c r="S91">
        <v>0.1525</v>
      </c>
      <c r="T91">
        <v>4.0950825000000002</v>
      </c>
      <c r="U91">
        <v>391.26364294061898</v>
      </c>
      <c r="V91">
        <v>5.5214441440655797</v>
      </c>
      <c r="W91">
        <v>295.63540944943901</v>
      </c>
      <c r="X91">
        <v>692.42049653412505</v>
      </c>
      <c r="Y91">
        <v>795.74832094326098</v>
      </c>
      <c r="Z91">
        <v>1156</v>
      </c>
      <c r="AA91">
        <v>0.45272062733315499</v>
      </c>
      <c r="AB91">
        <v>0.42434504825891001</v>
      </c>
      <c r="AC91" t="s">
        <v>55</v>
      </c>
      <c r="AD91">
        <v>0.45272062733315499</v>
      </c>
      <c r="AE91">
        <v>313.47304156926299</v>
      </c>
      <c r="AF91">
        <v>1005.89353810338</v>
      </c>
      <c r="AG91">
        <v>752</v>
      </c>
      <c r="AH91">
        <v>1128</v>
      </c>
      <c r="AI91">
        <v>1504</v>
      </c>
      <c r="AJ91">
        <v>902.4</v>
      </c>
      <c r="AK91">
        <v>1353.6</v>
      </c>
      <c r="AL91">
        <v>1804.8</v>
      </c>
      <c r="AM91">
        <f>Table1[[#This Row],[gross_cost]]-Table1[[#This Row],[CCR_single_base]]</f>
        <v>253.89353810338002</v>
      </c>
      <c r="AN91">
        <f>Table1[[#This Row],[gross_cost]]-Table1[[#This Row],[CCR_couple_base]]</f>
        <v>-122.10646189661998</v>
      </c>
      <c r="AO91">
        <f>Table1[[#This Row],[gross_cost]]-Table1[[#This Row],[CCR_family4_rural]]</f>
        <v>-798.90646189661993</v>
      </c>
      <c r="AP91">
        <v>103.493538103389</v>
      </c>
      <c r="AQ91">
        <v>-347.70646189660999</v>
      </c>
      <c r="AR91">
        <v>-798.90646189661004</v>
      </c>
      <c r="AS91">
        <f>Table1[[#This Row],[direct_tax]]/Table1[[#This Row],[total_exp]]</f>
        <v>8.9470416008854397E-3</v>
      </c>
      <c r="AT91">
        <f>Table1[[#This Row],[gross_cost]]/Table1[[#This Row],[total_exp]]</f>
        <v>1.2997551887214017E-2</v>
      </c>
      <c r="AU91">
        <v>3.28065974213266E-3</v>
      </c>
      <c r="AV91">
        <v>-1.5777863304080599E-3</v>
      </c>
      <c r="AW91">
        <v>-6.4362324029488003E-3</v>
      </c>
      <c r="AX91">
        <v>1.3372813131163699E-3</v>
      </c>
      <c r="AY91">
        <v>-4.4928539739325004E-3</v>
      </c>
      <c r="AZ91">
        <v>-1.03229892609813E-2</v>
      </c>
    </row>
    <row r="92" spans="1:52" x14ac:dyDescent="0.2">
      <c r="A92" t="s">
        <v>62</v>
      </c>
      <c r="B92">
        <v>2025</v>
      </c>
      <c r="C92">
        <v>0</v>
      </c>
      <c r="D92" t="s">
        <v>58</v>
      </c>
      <c r="E92">
        <v>117896</v>
      </c>
      <c r="F92">
        <v>3327</v>
      </c>
      <c r="G92">
        <v>822</v>
      </c>
      <c r="H92">
        <v>37</v>
      </c>
      <c r="I92">
        <v>77391</v>
      </c>
      <c r="J92">
        <v>1.37879166666666</v>
      </c>
      <c r="K92">
        <v>1.2946249999999999</v>
      </c>
      <c r="L92">
        <v>2412.9823819165299</v>
      </c>
      <c r="M92">
        <v>28.579704547648898</v>
      </c>
      <c r="N92">
        <v>8.7825772199999999E-2</v>
      </c>
      <c r="O92">
        <v>72.192784748400001</v>
      </c>
      <c r="P92">
        <v>1938.59284884878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AB92">
        <v>0</v>
      </c>
      <c r="AC92" t="s">
        <v>56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f>Table1[[#This Row],[gross_cost]]-Table1[[#This Row],[CCR_single_base]]</f>
        <v>0</v>
      </c>
      <c r="AN92">
        <f>Table1[[#This Row],[gross_cost]]-Table1[[#This Row],[CCR_couple_base]]</f>
        <v>0</v>
      </c>
      <c r="AO92">
        <f>Table1[[#This Row],[gross_cost]]-Table1[[#This Row],[CCR_family4_rural]]</f>
        <v>0</v>
      </c>
      <c r="AP92">
        <v>0</v>
      </c>
      <c r="AQ92">
        <v>0</v>
      </c>
      <c r="AR92">
        <v>0</v>
      </c>
      <c r="AS92">
        <f>Table1[[#This Row],[direct_tax]]/Table1[[#This Row],[total_exp]]</f>
        <v>0</v>
      </c>
      <c r="AT92">
        <f>Table1[[#This Row],[gross_cost]]/Table1[[#This Row],[total_exp]]</f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">
      <c r="A93" t="s">
        <v>62</v>
      </c>
      <c r="B93">
        <v>2019</v>
      </c>
      <c r="C93">
        <v>20</v>
      </c>
      <c r="D93" t="s">
        <v>59</v>
      </c>
      <c r="E93">
        <v>112092</v>
      </c>
      <c r="F93">
        <v>3868</v>
      </c>
      <c r="G93">
        <v>1059</v>
      </c>
      <c r="H93">
        <v>118</v>
      </c>
      <c r="I93">
        <v>117870</v>
      </c>
      <c r="J93">
        <v>1.11154166666666</v>
      </c>
      <c r="K93">
        <v>1.1245833333333299</v>
      </c>
      <c r="L93">
        <v>3479.8515575214601</v>
      </c>
      <c r="M93">
        <v>104.92775101889499</v>
      </c>
      <c r="N93">
        <v>8.7825772199999999E-2</v>
      </c>
      <c r="O93">
        <v>93.007492759800002</v>
      </c>
      <c r="P93">
        <v>2497.5302030788998</v>
      </c>
      <c r="Q93">
        <v>4.4200000000000003E-2</v>
      </c>
      <c r="R93">
        <v>5.3699999999999998E-2</v>
      </c>
      <c r="S93">
        <v>3.9100000000000003E-2</v>
      </c>
      <c r="T93">
        <v>1.0499522999999999</v>
      </c>
      <c r="U93">
        <v>153.809438842448</v>
      </c>
      <c r="V93">
        <v>5.6346202297146997</v>
      </c>
      <c r="W93">
        <v>97.653430940385306</v>
      </c>
      <c r="X93">
        <v>257.09749001254801</v>
      </c>
      <c r="Y93">
        <v>220.21378023299499</v>
      </c>
      <c r="AB93">
        <v>1.13466359612199</v>
      </c>
      <c r="AC93" t="s">
        <v>54</v>
      </c>
      <c r="AD93">
        <v>1.13466359612199</v>
      </c>
      <c r="AE93">
        <v>291.71916257157602</v>
      </c>
      <c r="AF93">
        <v>548.81665258412397</v>
      </c>
      <c r="AG93">
        <v>305</v>
      </c>
      <c r="AH93">
        <v>457</v>
      </c>
      <c r="AI93">
        <v>609</v>
      </c>
      <c r="AJ93">
        <v>335.5</v>
      </c>
      <c r="AK93">
        <v>502.7</v>
      </c>
      <c r="AL93">
        <v>669.9</v>
      </c>
      <c r="AM93">
        <f>Table1[[#This Row],[gross_cost]]-Table1[[#This Row],[CCR_single_base]]</f>
        <v>243.81665258412397</v>
      </c>
      <c r="AN93">
        <f>Table1[[#This Row],[gross_cost]]-Table1[[#This Row],[CCR_couple_base]]</f>
        <v>91.816652584123972</v>
      </c>
      <c r="AO93">
        <f>Table1[[#This Row],[gross_cost]]-Table1[[#This Row],[CCR_family4_rural]]</f>
        <v>-121.08334741587601</v>
      </c>
      <c r="AP93">
        <v>213.316652584124</v>
      </c>
      <c r="AQ93">
        <v>46.1166525841248</v>
      </c>
      <c r="AR93">
        <v>-121.083347415875</v>
      </c>
      <c r="AS93">
        <f>Table1[[#This Row],[direct_tax]]/Table1[[#This Row],[total_exp]]</f>
        <v>2.1811953000131332E-3</v>
      </c>
      <c r="AT93">
        <f>Table1[[#This Row],[gross_cost]]/Table1[[#This Row],[total_exp]]</f>
        <v>4.6561182029704251E-3</v>
      </c>
      <c r="AU93">
        <v>2.0685216983466902E-3</v>
      </c>
      <c r="AV93">
        <v>7.7896540751781502E-4</v>
      </c>
      <c r="AW93">
        <v>-5.1059088331106405E-4</v>
      </c>
      <c r="AX93">
        <v>1.8097620478843199E-3</v>
      </c>
      <c r="AY93">
        <v>3.9125012797255302E-4</v>
      </c>
      <c r="AZ93">
        <v>-1.02726179193921E-3</v>
      </c>
    </row>
    <row r="94" spans="1:52" x14ac:dyDescent="0.2">
      <c r="A94" t="s">
        <v>62</v>
      </c>
      <c r="B94">
        <v>2020</v>
      </c>
      <c r="C94">
        <v>30</v>
      </c>
      <c r="D94" t="s">
        <v>59</v>
      </c>
      <c r="E94">
        <v>97553</v>
      </c>
      <c r="F94">
        <v>3520</v>
      </c>
      <c r="G94">
        <v>1042.5</v>
      </c>
      <c r="H94">
        <v>86.5</v>
      </c>
      <c r="I94">
        <v>113386.5</v>
      </c>
      <c r="J94">
        <v>0.96683333333333299</v>
      </c>
      <c r="K94">
        <v>0.92245833333333305</v>
      </c>
      <c r="L94">
        <v>3640.7515945526602</v>
      </c>
      <c r="M94">
        <v>93.771173043046204</v>
      </c>
      <c r="N94">
        <v>8.7825772199999999E-2</v>
      </c>
      <c r="O94">
        <v>91.558367518500006</v>
      </c>
      <c r="P94">
        <v>2458.6168429742802</v>
      </c>
      <c r="Q94">
        <v>6.6299999999999998E-2</v>
      </c>
      <c r="R94">
        <v>8.0500000000000002E-2</v>
      </c>
      <c r="S94">
        <v>5.8700000000000002E-2</v>
      </c>
      <c r="T94">
        <v>1.5762711</v>
      </c>
      <c r="U94">
        <v>241.381830718841</v>
      </c>
      <c r="V94">
        <v>7.54857942996522</v>
      </c>
      <c r="W94">
        <v>144.32080868259001</v>
      </c>
      <c r="X94">
        <v>393.25121883139701</v>
      </c>
      <c r="Y94">
        <v>340.67203799177003</v>
      </c>
      <c r="AB94">
        <v>1.01627717147814</v>
      </c>
      <c r="AC94" t="s">
        <v>54</v>
      </c>
      <c r="AD94">
        <v>1.01627717147814</v>
      </c>
      <c r="AE94">
        <v>399.65223635430499</v>
      </c>
      <c r="AF94">
        <v>792.903455185702</v>
      </c>
      <c r="AG94">
        <v>405</v>
      </c>
      <c r="AH94">
        <v>607</v>
      </c>
      <c r="AI94">
        <v>809</v>
      </c>
      <c r="AJ94">
        <v>445.5</v>
      </c>
      <c r="AK94">
        <v>667.7</v>
      </c>
      <c r="AL94">
        <v>889.9</v>
      </c>
      <c r="AM94">
        <f>Table1[[#This Row],[gross_cost]]-Table1[[#This Row],[CCR_single_base]]</f>
        <v>387.903455185702</v>
      </c>
      <c r="AN94">
        <f>Table1[[#This Row],[gross_cost]]-Table1[[#This Row],[CCR_couple_base]]</f>
        <v>185.903455185702</v>
      </c>
      <c r="AO94">
        <f>Table1[[#This Row],[gross_cost]]-Table1[[#This Row],[CCR_family4_rural]]</f>
        <v>-96.996544814297977</v>
      </c>
      <c r="AP94">
        <v>347.403455185702</v>
      </c>
      <c r="AQ94">
        <v>125.203455185702</v>
      </c>
      <c r="AR94">
        <v>-96.996544814297707</v>
      </c>
      <c r="AS94">
        <f>Table1[[#This Row],[direct_tax]]/Table1[[#This Row],[total_exp]]</f>
        <v>3.4682366845382563E-3</v>
      </c>
      <c r="AT94">
        <f>Table1[[#This Row],[gross_cost]]/Table1[[#This Row],[total_exp]]</f>
        <v>6.9929264523175333E-3</v>
      </c>
      <c r="AU94">
        <v>3.4210726601994201E-3</v>
      </c>
      <c r="AV94">
        <v>1.63955546018002E-3</v>
      </c>
      <c r="AW94">
        <v>-1.4196173983937801E-4</v>
      </c>
      <c r="AX94">
        <v>3.0638872809876099E-3</v>
      </c>
      <c r="AY94">
        <v>1.10421836096627E-3</v>
      </c>
      <c r="AZ94">
        <v>-8.5545055905507004E-4</v>
      </c>
    </row>
    <row r="95" spans="1:52" x14ac:dyDescent="0.2">
      <c r="A95" t="s">
        <v>62</v>
      </c>
      <c r="B95">
        <v>2021</v>
      </c>
      <c r="C95">
        <v>40</v>
      </c>
      <c r="D95" t="s">
        <v>59</v>
      </c>
      <c r="E95">
        <v>96090</v>
      </c>
      <c r="F95">
        <v>3172</v>
      </c>
      <c r="G95">
        <v>1026</v>
      </c>
      <c r="H95">
        <v>55</v>
      </c>
      <c r="I95">
        <v>108903</v>
      </c>
      <c r="J95">
        <v>1.2702499999999901</v>
      </c>
      <c r="K95">
        <v>1.13225</v>
      </c>
      <c r="L95">
        <v>2497.14623105687</v>
      </c>
      <c r="M95">
        <v>48.575844557297401</v>
      </c>
      <c r="N95">
        <v>8.7825772199999999E-2</v>
      </c>
      <c r="O95">
        <v>90.109242277199996</v>
      </c>
      <c r="P95">
        <v>2419.7034828696501</v>
      </c>
      <c r="Q95">
        <v>8.8400000000000006E-2</v>
      </c>
      <c r="R95">
        <v>0.10730000000000001</v>
      </c>
      <c r="S95">
        <v>7.8299999999999995E-2</v>
      </c>
      <c r="T95">
        <v>2.1025898999999999</v>
      </c>
      <c r="U95">
        <v>220.747726825428</v>
      </c>
      <c r="V95">
        <v>5.2121881209980101</v>
      </c>
      <c r="W95">
        <v>189.462782708693</v>
      </c>
      <c r="X95">
        <v>415.42269765511901</v>
      </c>
      <c r="Y95">
        <v>363.08303168712303</v>
      </c>
      <c r="Z95">
        <v>720</v>
      </c>
      <c r="AA95">
        <v>0.98301748405703304</v>
      </c>
      <c r="AB95">
        <v>0.89789074683429704</v>
      </c>
      <c r="AC95" t="s">
        <v>55</v>
      </c>
      <c r="AD95">
        <v>0.98301748405703304</v>
      </c>
      <c r="AE95">
        <v>408.36777506912102</v>
      </c>
      <c r="AF95">
        <v>823.790472724241</v>
      </c>
      <c r="AG95">
        <v>500</v>
      </c>
      <c r="AH95">
        <v>750</v>
      </c>
      <c r="AI95">
        <v>1000</v>
      </c>
      <c r="AJ95">
        <v>550</v>
      </c>
      <c r="AK95">
        <v>825</v>
      </c>
      <c r="AL95">
        <v>1100</v>
      </c>
      <c r="AM95">
        <f>Table1[[#This Row],[gross_cost]]-Table1[[#This Row],[CCR_single_base]]</f>
        <v>323.790472724241</v>
      </c>
      <c r="AN95">
        <f>Table1[[#This Row],[gross_cost]]-Table1[[#This Row],[CCR_couple_base]]</f>
        <v>73.790472724240999</v>
      </c>
      <c r="AO95">
        <f>Table1[[#This Row],[gross_cost]]-Table1[[#This Row],[CCR_family4_rural]]</f>
        <v>-276.209527275759</v>
      </c>
      <c r="AP95">
        <v>273.790472724241</v>
      </c>
      <c r="AQ95">
        <v>-1.20952727575888</v>
      </c>
      <c r="AR95">
        <v>-276.20952727575798</v>
      </c>
      <c r="AS95">
        <f>Table1[[#This Row],[direct_tax]]/Table1[[#This Row],[total_exp]]</f>
        <v>3.8146120644529445E-3</v>
      </c>
      <c r="AT95">
        <f>Table1[[#This Row],[gross_cost]]/Table1[[#This Row],[total_exp]]</f>
        <v>7.5644424187050951E-3</v>
      </c>
      <c r="AU95">
        <v>2.9732006714621299E-3</v>
      </c>
      <c r="AV95">
        <v>6.77579797840658E-4</v>
      </c>
      <c r="AW95">
        <v>-1.61804107578082E-3</v>
      </c>
      <c r="AX95">
        <v>2.5140764967378402E-3</v>
      </c>
      <c r="AY95" s="1">
        <v>-1.1106464245786501E-5</v>
      </c>
      <c r="AZ95">
        <v>-2.53628942522941E-3</v>
      </c>
    </row>
    <row r="96" spans="1:52" x14ac:dyDescent="0.2">
      <c r="A96" t="s">
        <v>62</v>
      </c>
      <c r="B96">
        <v>2022</v>
      </c>
      <c r="C96">
        <v>50</v>
      </c>
      <c r="D96" t="s">
        <v>59</v>
      </c>
      <c r="E96">
        <v>97800</v>
      </c>
      <c r="F96">
        <v>3785.5</v>
      </c>
      <c r="G96">
        <v>1012.5</v>
      </c>
      <c r="H96">
        <v>55</v>
      </c>
      <c r="I96">
        <v>110678.5</v>
      </c>
      <c r="J96">
        <v>1.651875</v>
      </c>
      <c r="K96">
        <v>1.74491666666666</v>
      </c>
      <c r="L96">
        <v>2291.63828982217</v>
      </c>
      <c r="M96">
        <v>31.520129901141399</v>
      </c>
      <c r="N96">
        <v>8.7825772199999999E-2</v>
      </c>
      <c r="O96">
        <v>88.923594352500004</v>
      </c>
      <c r="P96">
        <v>2387.8652791476802</v>
      </c>
      <c r="Q96">
        <v>0.1105</v>
      </c>
      <c r="R96">
        <v>0.1341</v>
      </c>
      <c r="S96">
        <v>9.7900000000000001E-2</v>
      </c>
      <c r="T96">
        <v>2.6289087000000002</v>
      </c>
      <c r="U96">
        <v>253.22603102534899</v>
      </c>
      <c r="V96">
        <v>4.2268494197430604</v>
      </c>
      <c r="W96">
        <v>233.772010828558</v>
      </c>
      <c r="X96">
        <v>491.224891273651</v>
      </c>
      <c r="Y96">
        <v>440.57570003126</v>
      </c>
      <c r="Z96">
        <v>734</v>
      </c>
      <c r="AA96">
        <v>0.66600200589346903</v>
      </c>
      <c r="AB96">
        <v>0.77950432219044996</v>
      </c>
      <c r="AC96" t="s">
        <v>55</v>
      </c>
      <c r="AD96">
        <v>0.66600200589346903</v>
      </c>
      <c r="AE96">
        <v>327.15676293305302</v>
      </c>
      <c r="AF96">
        <v>818.38165420670396</v>
      </c>
      <c r="AG96">
        <v>550</v>
      </c>
      <c r="AH96">
        <v>825</v>
      </c>
      <c r="AI96">
        <v>1101</v>
      </c>
      <c r="AJ96">
        <v>605</v>
      </c>
      <c r="AK96">
        <v>907.5</v>
      </c>
      <c r="AL96">
        <v>1211.0999999999999</v>
      </c>
      <c r="AM96">
        <f>Table1[[#This Row],[gross_cost]]-Table1[[#This Row],[CCR_single_base]]</f>
        <v>268.38165420670396</v>
      </c>
      <c r="AN96">
        <f>Table1[[#This Row],[gross_cost]]-Table1[[#This Row],[CCR_couple_base]]</f>
        <v>-6.6183457932960437</v>
      </c>
      <c r="AO96">
        <f>Table1[[#This Row],[gross_cost]]-Table1[[#This Row],[CCR_family4_rural]]</f>
        <v>-392.71834579329595</v>
      </c>
      <c r="AP96">
        <v>213.38165420670401</v>
      </c>
      <c r="AQ96">
        <v>-89.118345793295504</v>
      </c>
      <c r="AR96">
        <v>-392.71834579329499</v>
      </c>
      <c r="AS96">
        <f>Table1[[#This Row],[direct_tax]]/Table1[[#This Row],[total_exp]]</f>
        <v>4.4383045602682638E-3</v>
      </c>
      <c r="AT96">
        <f>Table1[[#This Row],[gross_cost]]/Table1[[#This Row],[total_exp]]</f>
        <v>7.3942243001730596E-3</v>
      </c>
      <c r="AU96">
        <v>2.4248761431235901E-3</v>
      </c>
      <c r="AV96" s="1">
        <v>-5.9797935401143597E-5</v>
      </c>
      <c r="AW96">
        <v>-2.5535071923932398E-3</v>
      </c>
      <c r="AX96">
        <v>1.92794132741864E-3</v>
      </c>
      <c r="AY96">
        <v>-8.0520015895856501E-4</v>
      </c>
      <c r="AZ96">
        <v>-3.5482803416498699E-3</v>
      </c>
    </row>
    <row r="97" spans="1:52" x14ac:dyDescent="0.2">
      <c r="A97" t="s">
        <v>62</v>
      </c>
      <c r="B97">
        <v>2023</v>
      </c>
      <c r="C97">
        <v>65</v>
      </c>
      <c r="D97" t="s">
        <v>59</v>
      </c>
      <c r="E97">
        <v>94279</v>
      </c>
      <c r="F97">
        <v>4399</v>
      </c>
      <c r="G97">
        <v>999</v>
      </c>
      <c r="H97">
        <v>55</v>
      </c>
      <c r="I97">
        <v>112454</v>
      </c>
      <c r="J97">
        <v>1.52866666666666</v>
      </c>
      <c r="K97">
        <v>1.6768749999999999</v>
      </c>
      <c r="L97">
        <v>2877.6711731356299</v>
      </c>
      <c r="M97">
        <v>32.799105478941399</v>
      </c>
      <c r="N97">
        <v>8.7825772199999999E-2</v>
      </c>
      <c r="O97">
        <v>87.737946427799997</v>
      </c>
      <c r="P97">
        <v>2356.0270754257099</v>
      </c>
      <c r="Q97">
        <v>0.1431</v>
      </c>
      <c r="R97">
        <v>0.17380000000000001</v>
      </c>
      <c r="S97">
        <v>0.1239</v>
      </c>
      <c r="T97">
        <v>3.3270867000000002</v>
      </c>
      <c r="U97">
        <v>411.79474487570798</v>
      </c>
      <c r="V97">
        <v>5.7004845322400302</v>
      </c>
      <c r="W97">
        <v>291.91175464524503</v>
      </c>
      <c r="X97">
        <v>709.40698405319404</v>
      </c>
      <c r="Y97">
        <v>638.24436597941497</v>
      </c>
      <c r="AB97">
        <v>0.60192468522468001</v>
      </c>
      <c r="AC97" t="s">
        <v>54</v>
      </c>
      <c r="AD97">
        <v>0.60192468522468001</v>
      </c>
      <c r="AE97">
        <v>427.00957557240798</v>
      </c>
      <c r="AF97">
        <v>1136.4165596256</v>
      </c>
      <c r="AG97">
        <v>680</v>
      </c>
      <c r="AH97">
        <v>1020</v>
      </c>
      <c r="AI97">
        <v>1360</v>
      </c>
      <c r="AJ97">
        <v>748</v>
      </c>
      <c r="AK97">
        <v>1122</v>
      </c>
      <c r="AL97">
        <v>1496</v>
      </c>
      <c r="AM97">
        <f>Table1[[#This Row],[gross_cost]]-Table1[[#This Row],[CCR_single_base]]</f>
        <v>456.41655962560003</v>
      </c>
      <c r="AN97">
        <f>Table1[[#This Row],[gross_cost]]-Table1[[#This Row],[CCR_couple_base]]</f>
        <v>116.41655962560003</v>
      </c>
      <c r="AO97">
        <f>Table1[[#This Row],[gross_cost]]-Table1[[#This Row],[CCR_family4_rural]]</f>
        <v>-359.58344037439997</v>
      </c>
      <c r="AP97">
        <v>388.41655962560299</v>
      </c>
      <c r="AQ97">
        <v>14.4165596256034</v>
      </c>
      <c r="AR97">
        <v>-359.58344037439599</v>
      </c>
      <c r="AS97">
        <f>Table1[[#This Row],[direct_tax]]/Table1[[#This Row],[total_exp]]</f>
        <v>6.3084193008091666E-3</v>
      </c>
      <c r="AT97">
        <f>Table1[[#This Row],[gross_cost]]/Table1[[#This Row],[total_exp]]</f>
        <v>1.0105612602713998E-2</v>
      </c>
      <c r="AU97">
        <v>4.0586956411119502E-3</v>
      </c>
      <c r="AV97">
        <v>1.03523716031091E-3</v>
      </c>
      <c r="AW97">
        <v>-1.9882213204901202E-3</v>
      </c>
      <c r="AX97">
        <v>3.4540039449517399E-3</v>
      </c>
      <c r="AY97">
        <v>1.2819961607060101E-4</v>
      </c>
      <c r="AZ97">
        <v>-3.1976047128105399E-3</v>
      </c>
    </row>
    <row r="98" spans="1:52" x14ac:dyDescent="0.2">
      <c r="A98" t="s">
        <v>62</v>
      </c>
      <c r="B98">
        <v>2024</v>
      </c>
      <c r="C98">
        <v>80</v>
      </c>
      <c r="D98" t="s">
        <v>59</v>
      </c>
      <c r="E98">
        <v>97434</v>
      </c>
      <c r="F98">
        <v>4399</v>
      </c>
      <c r="G98">
        <v>999</v>
      </c>
      <c r="H98">
        <v>55</v>
      </c>
      <c r="I98">
        <v>112454</v>
      </c>
      <c r="J98">
        <v>1.49741666666666</v>
      </c>
      <c r="K98">
        <v>1.4333750000000001</v>
      </c>
      <c r="L98">
        <v>2937.7260838110001</v>
      </c>
      <c r="M98">
        <v>38.3709775878608</v>
      </c>
      <c r="N98">
        <v>8.7825772199999999E-2</v>
      </c>
      <c r="O98">
        <v>87.737946427799997</v>
      </c>
      <c r="P98">
        <v>2356.0270754257099</v>
      </c>
      <c r="Q98">
        <v>0.17610000000000001</v>
      </c>
      <c r="R98">
        <v>0.21390000000000001</v>
      </c>
      <c r="S98">
        <v>0.1525</v>
      </c>
      <c r="T98">
        <v>4.0950825000000002</v>
      </c>
      <c r="U98">
        <v>517.33356335911799</v>
      </c>
      <c r="V98">
        <v>8.2075521060434191</v>
      </c>
      <c r="W98">
        <v>359.29412900242102</v>
      </c>
      <c r="X98">
        <v>884.83524446758304</v>
      </c>
      <c r="Y98">
        <v>795.74832094326098</v>
      </c>
      <c r="Z98">
        <v>1156</v>
      </c>
      <c r="AA98">
        <v>0.45272062733315499</v>
      </c>
      <c r="AB98">
        <v>0.42434504825891001</v>
      </c>
      <c r="AC98" t="s">
        <v>55</v>
      </c>
      <c r="AD98">
        <v>0.45272062733315499</v>
      </c>
      <c r="AE98">
        <v>400.58316696184897</v>
      </c>
      <c r="AF98">
        <v>1285.4184114294301</v>
      </c>
      <c r="AG98">
        <v>752</v>
      </c>
      <c r="AH98">
        <v>1128</v>
      </c>
      <c r="AI98">
        <v>1504</v>
      </c>
      <c r="AJ98">
        <v>902.4</v>
      </c>
      <c r="AK98">
        <v>1353.6</v>
      </c>
      <c r="AL98">
        <v>1804.8</v>
      </c>
      <c r="AM98">
        <f>Table1[[#This Row],[gross_cost]]-Table1[[#This Row],[CCR_single_base]]</f>
        <v>533.41841142943008</v>
      </c>
      <c r="AN98">
        <f>Table1[[#This Row],[gross_cost]]-Table1[[#This Row],[CCR_couple_base]]</f>
        <v>157.41841142943008</v>
      </c>
      <c r="AO98">
        <f>Table1[[#This Row],[gross_cost]]-Table1[[#This Row],[CCR_family4_rural]]</f>
        <v>-519.38158857056987</v>
      </c>
      <c r="AP98">
        <v>383.018411429433</v>
      </c>
      <c r="AQ98">
        <v>-68.181588570566802</v>
      </c>
      <c r="AR98">
        <v>-519.38158857056601</v>
      </c>
      <c r="AS98">
        <f>Table1[[#This Row],[direct_tax]]/Table1[[#This Row],[total_exp]]</f>
        <v>7.868419482344631E-3</v>
      </c>
      <c r="AT98">
        <f>Table1[[#This Row],[gross_cost]]/Table1[[#This Row],[total_exp]]</f>
        <v>1.1430615286512086E-2</v>
      </c>
      <c r="AU98">
        <v>4.7434365289756898E-3</v>
      </c>
      <c r="AV98">
        <v>1.39984715020748E-3</v>
      </c>
      <c r="AW98">
        <v>-1.9437422285607099E-3</v>
      </c>
      <c r="AX98">
        <v>3.4060007774684101E-3</v>
      </c>
      <c r="AY98">
        <v>-6.0630647705343401E-4</v>
      </c>
      <c r="AZ98">
        <v>-4.6186137315752801E-3</v>
      </c>
    </row>
    <row r="99" spans="1:52" x14ac:dyDescent="0.2">
      <c r="A99" t="s">
        <v>62</v>
      </c>
      <c r="B99">
        <v>2025</v>
      </c>
      <c r="C99">
        <v>0</v>
      </c>
      <c r="D99" t="s">
        <v>59</v>
      </c>
      <c r="E99">
        <v>97434</v>
      </c>
      <c r="F99">
        <v>4399</v>
      </c>
      <c r="G99">
        <v>999</v>
      </c>
      <c r="H99">
        <v>55</v>
      </c>
      <c r="I99">
        <v>112454</v>
      </c>
      <c r="J99">
        <v>1.37879166666666</v>
      </c>
      <c r="K99">
        <v>1.2946249999999999</v>
      </c>
      <c r="L99">
        <v>3190.4747514429901</v>
      </c>
      <c r="M99">
        <v>42.483344597856501</v>
      </c>
      <c r="N99">
        <v>8.7825772199999999E-2</v>
      </c>
      <c r="O99">
        <v>87.737946427799997</v>
      </c>
      <c r="P99">
        <v>2356.0270754257099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AB99">
        <v>0</v>
      </c>
      <c r="AC99" t="s">
        <v>56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f>Table1[[#This Row],[gross_cost]]-Table1[[#This Row],[CCR_single_base]]</f>
        <v>0</v>
      </c>
      <c r="AN99">
        <f>Table1[[#This Row],[gross_cost]]-Table1[[#This Row],[CCR_couple_base]]</f>
        <v>0</v>
      </c>
      <c r="AO99">
        <f>Table1[[#This Row],[gross_cost]]-Table1[[#This Row],[CCR_family4_rural]]</f>
        <v>0</v>
      </c>
      <c r="AP99">
        <v>0</v>
      </c>
      <c r="AQ99">
        <v>0</v>
      </c>
      <c r="AR99">
        <v>0</v>
      </c>
      <c r="AS99">
        <f>Table1[[#This Row],[direct_tax]]/Table1[[#This Row],[total_exp]]</f>
        <v>0</v>
      </c>
      <c r="AT99">
        <f>Table1[[#This Row],[gross_cost]]/Table1[[#This Row],[total_exp]]</f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">
      <c r="A100" t="s">
        <v>62</v>
      </c>
      <c r="B100">
        <v>2019</v>
      </c>
      <c r="C100">
        <v>20</v>
      </c>
      <c r="D100" t="s">
        <v>60</v>
      </c>
      <c r="E100">
        <v>114496</v>
      </c>
      <c r="F100">
        <v>5446</v>
      </c>
      <c r="G100">
        <v>1154</v>
      </c>
      <c r="H100">
        <v>80</v>
      </c>
      <c r="I100">
        <v>184893</v>
      </c>
      <c r="J100">
        <v>1.11154166666666</v>
      </c>
      <c r="K100">
        <v>1.1245833333333299</v>
      </c>
      <c r="L100">
        <v>4899.5014431907603</v>
      </c>
      <c r="M100">
        <v>71.137458317895494</v>
      </c>
      <c r="N100">
        <v>8.7825772199999999E-2</v>
      </c>
      <c r="O100">
        <v>101.35094111879999</v>
      </c>
      <c r="P100">
        <v>2721.5768218631301</v>
      </c>
      <c r="Q100">
        <v>4.4200000000000003E-2</v>
      </c>
      <c r="R100">
        <v>5.3699999999999998E-2</v>
      </c>
      <c r="S100">
        <v>3.9100000000000003E-2</v>
      </c>
      <c r="T100">
        <v>1.0499522999999999</v>
      </c>
      <c r="U100">
        <v>216.55796378903099</v>
      </c>
      <c r="V100">
        <v>3.8200815116709799</v>
      </c>
      <c r="W100">
        <v>106.413653734848</v>
      </c>
      <c r="X100">
        <v>326.79169903555101</v>
      </c>
      <c r="Y100">
        <v>220.21378023299499</v>
      </c>
      <c r="AB100">
        <v>1.13466359612199</v>
      </c>
      <c r="AC100" t="s">
        <v>54</v>
      </c>
      <c r="AD100">
        <v>1.13466359612199</v>
      </c>
      <c r="AE100">
        <v>370.79864441049398</v>
      </c>
      <c r="AF100">
        <v>697.59034344604504</v>
      </c>
      <c r="AG100">
        <v>305</v>
      </c>
      <c r="AH100">
        <v>457</v>
      </c>
      <c r="AI100">
        <v>609</v>
      </c>
      <c r="AJ100">
        <v>335.5</v>
      </c>
      <c r="AK100">
        <v>502.7</v>
      </c>
      <c r="AL100">
        <v>669.9</v>
      </c>
      <c r="AM100">
        <f>Table1[[#This Row],[gross_cost]]-Table1[[#This Row],[CCR_single_base]]</f>
        <v>392.59034344604504</v>
      </c>
      <c r="AN100">
        <f>Table1[[#This Row],[gross_cost]]-Table1[[#This Row],[CCR_couple_base]]</f>
        <v>240.59034344604504</v>
      </c>
      <c r="AO100">
        <f>Table1[[#This Row],[gross_cost]]-Table1[[#This Row],[CCR_family4_rural]]</f>
        <v>27.690343446045063</v>
      </c>
      <c r="AP100">
        <v>362.09034344604498</v>
      </c>
      <c r="AQ100">
        <v>194.89034344604499</v>
      </c>
      <c r="AR100">
        <v>27.690343446045699</v>
      </c>
      <c r="AS100">
        <f>Table1[[#This Row],[direct_tax]]/Table1[[#This Row],[total_exp]]</f>
        <v>1.7674638793007361E-3</v>
      </c>
      <c r="AT100">
        <f>Table1[[#This Row],[gross_cost]]/Table1[[#This Row],[total_exp]]</f>
        <v>3.7729408006038361E-3</v>
      </c>
      <c r="AU100">
        <v>2.1233380573956002E-3</v>
      </c>
      <c r="AV100">
        <v>1.30124095258363E-3</v>
      </c>
      <c r="AW100">
        <v>4.7914384777166099E-4</v>
      </c>
      <c r="AX100">
        <v>1.9583777830747798E-3</v>
      </c>
      <c r="AY100">
        <v>1.0540709677816099E-3</v>
      </c>
      <c r="AZ100">
        <v>1.49764152488443E-4</v>
      </c>
    </row>
    <row r="101" spans="1:52" x14ac:dyDescent="0.2">
      <c r="A101" t="s">
        <v>62</v>
      </c>
      <c r="B101">
        <v>2020</v>
      </c>
      <c r="C101">
        <v>30</v>
      </c>
      <c r="D101" t="s">
        <v>60</v>
      </c>
      <c r="E101">
        <v>118538</v>
      </c>
      <c r="F101">
        <v>4712.5</v>
      </c>
      <c r="G101">
        <v>1165.5</v>
      </c>
      <c r="H101">
        <v>80</v>
      </c>
      <c r="I101">
        <v>178888</v>
      </c>
      <c r="J101">
        <v>0.96683333333333299</v>
      </c>
      <c r="K101">
        <v>0.92245833333333305</v>
      </c>
      <c r="L101">
        <v>4874.1596276503997</v>
      </c>
      <c r="M101">
        <v>86.724784317268103</v>
      </c>
      <c r="N101">
        <v>8.7825772199999999E-2</v>
      </c>
      <c r="O101">
        <v>102.3609374991</v>
      </c>
      <c r="P101">
        <v>2748.6982546633299</v>
      </c>
      <c r="Q101">
        <v>6.6299999999999998E-2</v>
      </c>
      <c r="R101">
        <v>8.0500000000000002E-2</v>
      </c>
      <c r="S101">
        <v>5.8700000000000002E-2</v>
      </c>
      <c r="T101">
        <v>1.5762711</v>
      </c>
      <c r="U101">
        <v>323.15678331322101</v>
      </c>
      <c r="V101">
        <v>6.9813451375400799</v>
      </c>
      <c r="W101">
        <v>161.34858754873699</v>
      </c>
      <c r="X101">
        <v>491.48671599949898</v>
      </c>
      <c r="Y101">
        <v>340.67203799177003</v>
      </c>
      <c r="AB101">
        <v>1.01627717147814</v>
      </c>
      <c r="AC101" t="s">
        <v>54</v>
      </c>
      <c r="AD101">
        <v>1.01627717147814</v>
      </c>
      <c r="AE101">
        <v>499.48672955505299</v>
      </c>
      <c r="AF101">
        <v>990.973445554553</v>
      </c>
      <c r="AG101">
        <v>405</v>
      </c>
      <c r="AH101">
        <v>607</v>
      </c>
      <c r="AI101">
        <v>809</v>
      </c>
      <c r="AJ101">
        <v>445.5</v>
      </c>
      <c r="AK101">
        <v>667.7</v>
      </c>
      <c r="AL101">
        <v>889.9</v>
      </c>
      <c r="AM101">
        <f>Table1[[#This Row],[gross_cost]]-Table1[[#This Row],[CCR_single_base]]</f>
        <v>585.973445554553</v>
      </c>
      <c r="AN101">
        <f>Table1[[#This Row],[gross_cost]]-Table1[[#This Row],[CCR_couple_base]]</f>
        <v>383.973445554553</v>
      </c>
      <c r="AO101">
        <f>Table1[[#This Row],[gross_cost]]-Table1[[#This Row],[CCR_family4_rural]]</f>
        <v>101.07344555455302</v>
      </c>
      <c r="AP101">
        <v>545.473445554553</v>
      </c>
      <c r="AQ101">
        <v>323.27344555455301</v>
      </c>
      <c r="AR101">
        <v>101.073445554553</v>
      </c>
      <c r="AS101">
        <f>Table1[[#This Row],[direct_tax]]/Table1[[#This Row],[total_exp]]</f>
        <v>2.7474549215123372E-3</v>
      </c>
      <c r="AT101">
        <f>Table1[[#This Row],[gross_cost]]/Table1[[#This Row],[total_exp]]</f>
        <v>5.5396306379106091E-3</v>
      </c>
      <c r="AU101">
        <v>3.2756442330092199E-3</v>
      </c>
      <c r="AV101">
        <v>2.1464460755028399E-3</v>
      </c>
      <c r="AW101">
        <v>1.0172479179964701E-3</v>
      </c>
      <c r="AX101">
        <v>3.0492455925190801E-3</v>
      </c>
      <c r="AY101">
        <v>1.80712761926207E-3</v>
      </c>
      <c r="AZ101">
        <v>5.6500964600505999E-4</v>
      </c>
    </row>
    <row r="102" spans="1:52" x14ac:dyDescent="0.2">
      <c r="A102" t="s">
        <v>62</v>
      </c>
      <c r="B102">
        <v>2021</v>
      </c>
      <c r="C102">
        <v>40</v>
      </c>
      <c r="D102" t="s">
        <v>60</v>
      </c>
      <c r="E102">
        <v>108123</v>
      </c>
      <c r="F102">
        <v>3979</v>
      </c>
      <c r="G102">
        <v>1177</v>
      </c>
      <c r="H102">
        <v>80</v>
      </c>
      <c r="I102">
        <v>172883</v>
      </c>
      <c r="J102">
        <v>1.2702499999999901</v>
      </c>
      <c r="K102">
        <v>1.13225</v>
      </c>
      <c r="L102">
        <v>3132.4542412910801</v>
      </c>
      <c r="M102">
        <v>70.655773901523503</v>
      </c>
      <c r="N102">
        <v>8.7825772199999999E-2</v>
      </c>
      <c r="O102">
        <v>103.3709338794</v>
      </c>
      <c r="P102">
        <v>2775.81968746352</v>
      </c>
      <c r="Q102">
        <v>8.8400000000000006E-2</v>
      </c>
      <c r="R102">
        <v>0.10730000000000001</v>
      </c>
      <c r="S102">
        <v>7.8299999999999995E-2</v>
      </c>
      <c r="T102">
        <v>2.1025898999999999</v>
      </c>
      <c r="U102">
        <v>276.90895493013102</v>
      </c>
      <c r="V102">
        <v>7.5813645396334701</v>
      </c>
      <c r="W102">
        <v>217.34668152839399</v>
      </c>
      <c r="X102">
        <v>501.837000998159</v>
      </c>
      <c r="Y102">
        <v>363.08303168712303</v>
      </c>
      <c r="Z102">
        <v>720</v>
      </c>
      <c r="AA102">
        <v>0.98301748405703304</v>
      </c>
      <c r="AB102">
        <v>0.89789074683429704</v>
      </c>
      <c r="AC102" t="s">
        <v>55</v>
      </c>
      <c r="AD102">
        <v>0.98301748405703304</v>
      </c>
      <c r="AE102">
        <v>493.31454612793698</v>
      </c>
      <c r="AF102">
        <v>995.15154712609694</v>
      </c>
      <c r="AG102">
        <v>500</v>
      </c>
      <c r="AH102">
        <v>750</v>
      </c>
      <c r="AI102">
        <v>1000</v>
      </c>
      <c r="AJ102">
        <v>550</v>
      </c>
      <c r="AK102">
        <v>825</v>
      </c>
      <c r="AL102">
        <v>1100</v>
      </c>
      <c r="AM102">
        <f>Table1[[#This Row],[gross_cost]]-Table1[[#This Row],[CCR_single_base]]</f>
        <v>495.15154712609694</v>
      </c>
      <c r="AN102">
        <f>Table1[[#This Row],[gross_cost]]-Table1[[#This Row],[CCR_couple_base]]</f>
        <v>245.15154712609694</v>
      </c>
      <c r="AO102">
        <f>Table1[[#This Row],[gross_cost]]-Table1[[#This Row],[CCR_family4_rural]]</f>
        <v>-104.84845287390306</v>
      </c>
      <c r="AP102">
        <v>445.151547126097</v>
      </c>
      <c r="AQ102">
        <v>170.151547126097</v>
      </c>
      <c r="AR102">
        <v>-104.848452873902</v>
      </c>
      <c r="AS102">
        <f>Table1[[#This Row],[direct_tax]]/Table1[[#This Row],[total_exp]]</f>
        <v>2.9027550482011474E-3</v>
      </c>
      <c r="AT102">
        <f>Table1[[#This Row],[gross_cost]]/Table1[[#This Row],[total_exp]]</f>
        <v>5.7562140125176969E-3</v>
      </c>
      <c r="AU102">
        <v>2.86408465335572E-3</v>
      </c>
      <c r="AV102">
        <v>1.4180199737747301E-3</v>
      </c>
      <c r="AW102" s="1">
        <v>-2.8044705806254599E-5</v>
      </c>
      <c r="AX102">
        <v>2.57487171743952E-3</v>
      </c>
      <c r="AY102">
        <v>9.8420056990043605E-4</v>
      </c>
      <c r="AZ102">
        <v>-6.0647057763864895E-4</v>
      </c>
    </row>
    <row r="103" spans="1:52" x14ac:dyDescent="0.2">
      <c r="A103" t="s">
        <v>62</v>
      </c>
      <c r="B103">
        <v>2022</v>
      </c>
      <c r="C103">
        <v>50</v>
      </c>
      <c r="D103" t="s">
        <v>60</v>
      </c>
      <c r="E103">
        <v>117390</v>
      </c>
      <c r="F103">
        <v>4927</v>
      </c>
      <c r="G103">
        <v>1288.5</v>
      </c>
      <c r="H103">
        <v>76.5</v>
      </c>
      <c r="I103">
        <v>174594</v>
      </c>
      <c r="J103">
        <v>1.651875</v>
      </c>
      <c r="K103">
        <v>1.74491666666666</v>
      </c>
      <c r="L103">
        <v>2982.6712069617802</v>
      </c>
      <c r="M103">
        <v>43.841635226133</v>
      </c>
      <c r="N103">
        <v>8.7825772199999999E-2</v>
      </c>
      <c r="O103">
        <v>113.1635074797</v>
      </c>
      <c r="P103">
        <v>3038.77966635238</v>
      </c>
      <c r="Q103">
        <v>0.1105</v>
      </c>
      <c r="R103">
        <v>0.1341</v>
      </c>
      <c r="S103">
        <v>9.7900000000000001E-2</v>
      </c>
      <c r="T103">
        <v>2.6289087000000002</v>
      </c>
      <c r="U103">
        <v>329.58516836927703</v>
      </c>
      <c r="V103">
        <v>5.8791632838244396</v>
      </c>
      <c r="W103">
        <v>297.496529335898</v>
      </c>
      <c r="X103">
        <v>632.96086098900003</v>
      </c>
      <c r="Y103">
        <v>440.57570003126</v>
      </c>
      <c r="Z103">
        <v>734</v>
      </c>
      <c r="AA103">
        <v>0.66600200589346903</v>
      </c>
      <c r="AB103">
        <v>0.77950432219044996</v>
      </c>
      <c r="AC103" t="s">
        <v>55</v>
      </c>
      <c r="AD103">
        <v>0.66600200589346903</v>
      </c>
      <c r="AE103">
        <v>421.553203070731</v>
      </c>
      <c r="AF103">
        <v>1054.5140640597299</v>
      </c>
      <c r="AG103">
        <v>550</v>
      </c>
      <c r="AH103">
        <v>825</v>
      </c>
      <c r="AI103">
        <v>1101</v>
      </c>
      <c r="AJ103">
        <v>605</v>
      </c>
      <c r="AK103">
        <v>907.5</v>
      </c>
      <c r="AL103">
        <v>1211.0999999999999</v>
      </c>
      <c r="AM103">
        <f>Table1[[#This Row],[gross_cost]]-Table1[[#This Row],[CCR_single_base]]</f>
        <v>504.51406405972989</v>
      </c>
      <c r="AN103">
        <f>Table1[[#This Row],[gross_cost]]-Table1[[#This Row],[CCR_couple_base]]</f>
        <v>229.51406405972989</v>
      </c>
      <c r="AO103">
        <f>Table1[[#This Row],[gross_cost]]-Table1[[#This Row],[CCR_family4_rural]]</f>
        <v>-156.58593594027002</v>
      </c>
      <c r="AP103">
        <v>449.51406405973199</v>
      </c>
      <c r="AQ103">
        <v>147.01406405973199</v>
      </c>
      <c r="AR103">
        <v>-156.58593594026701</v>
      </c>
      <c r="AS103">
        <f>Table1[[#This Row],[direct_tax]]/Table1[[#This Row],[total_exp]]</f>
        <v>3.6253299711845768E-3</v>
      </c>
      <c r="AT103">
        <f>Table1[[#This Row],[gross_cost]]/Table1[[#This Row],[total_exp]]</f>
        <v>6.0398070040192098E-3</v>
      </c>
      <c r="AU103">
        <v>2.8896414771397102E-3</v>
      </c>
      <c r="AV103">
        <v>1.31455871369996E-3</v>
      </c>
      <c r="AW103">
        <v>-2.6625162342501897E-4</v>
      </c>
      <c r="AX103">
        <v>2.5746249244517601E-3</v>
      </c>
      <c r="AY103">
        <v>8.4203388466804103E-4</v>
      </c>
      <c r="AZ103">
        <v>-8.9685748616944404E-4</v>
      </c>
    </row>
    <row r="104" spans="1:52" x14ac:dyDescent="0.2">
      <c r="A104" t="s">
        <v>62</v>
      </c>
      <c r="B104">
        <v>2023</v>
      </c>
      <c r="C104">
        <v>65</v>
      </c>
      <c r="D104" t="s">
        <v>60</v>
      </c>
      <c r="E104">
        <v>114096</v>
      </c>
      <c r="F104">
        <v>5875</v>
      </c>
      <c r="G104">
        <v>1400</v>
      </c>
      <c r="H104">
        <v>73</v>
      </c>
      <c r="I104">
        <v>176305</v>
      </c>
      <c r="J104">
        <v>1.52866666666666</v>
      </c>
      <c r="K104">
        <v>1.6768749999999999</v>
      </c>
      <c r="L104">
        <v>3843.2184910597398</v>
      </c>
      <c r="M104">
        <v>43.5333581811405</v>
      </c>
      <c r="N104">
        <v>8.7825772199999999E-2</v>
      </c>
      <c r="O104">
        <v>122.95608108</v>
      </c>
      <c r="P104">
        <v>3301.7396452412399</v>
      </c>
      <c r="Q104">
        <v>0.1431</v>
      </c>
      <c r="R104">
        <v>0.17380000000000001</v>
      </c>
      <c r="S104">
        <v>0.1239</v>
      </c>
      <c r="T104">
        <v>3.3270867000000002</v>
      </c>
      <c r="U104">
        <v>549.96456607064897</v>
      </c>
      <c r="V104">
        <v>7.5660976518822203</v>
      </c>
      <c r="W104">
        <v>409.08554204538899</v>
      </c>
      <c r="X104">
        <v>966.61620576792097</v>
      </c>
      <c r="Y104">
        <v>638.24436597941497</v>
      </c>
      <c r="AB104">
        <v>0.60192468522468001</v>
      </c>
      <c r="AC104" t="s">
        <v>54</v>
      </c>
      <c r="AD104">
        <v>0.60192468522468001</v>
      </c>
      <c r="AE104">
        <v>581.83015538993095</v>
      </c>
      <c r="AF104">
        <v>1548.4463611578501</v>
      </c>
      <c r="AG104">
        <v>680</v>
      </c>
      <c r="AH104">
        <v>1020</v>
      </c>
      <c r="AI104">
        <v>1360</v>
      </c>
      <c r="AJ104">
        <v>748</v>
      </c>
      <c r="AK104">
        <v>1122</v>
      </c>
      <c r="AL104">
        <v>1496</v>
      </c>
      <c r="AM104">
        <f>Table1[[#This Row],[gross_cost]]-Table1[[#This Row],[CCR_single_base]]</f>
        <v>868.44636115785011</v>
      </c>
      <c r="AN104">
        <f>Table1[[#This Row],[gross_cost]]-Table1[[#This Row],[CCR_couple_base]]</f>
        <v>528.44636115785011</v>
      </c>
      <c r="AO104">
        <f>Table1[[#This Row],[gross_cost]]-Table1[[#This Row],[CCR_family4_rural]]</f>
        <v>52.446361157850106</v>
      </c>
      <c r="AP104">
        <v>800.44636115785204</v>
      </c>
      <c r="AQ104">
        <v>426.44636115785198</v>
      </c>
      <c r="AR104">
        <v>52.4463611578526</v>
      </c>
      <c r="AS104">
        <f>Table1[[#This Row],[direct_tax]]/Table1[[#This Row],[total_exp]]</f>
        <v>5.4826363731483568E-3</v>
      </c>
      <c r="AT104">
        <f>Table1[[#This Row],[gross_cost]]/Table1[[#This Row],[total_exp]]</f>
        <v>8.7827705462570557E-3</v>
      </c>
      <c r="AU104">
        <v>4.9258181058838496E-3</v>
      </c>
      <c r="AV104">
        <v>2.9973418856972401E-3</v>
      </c>
      <c r="AW104">
        <v>1.0688656655106299E-3</v>
      </c>
      <c r="AX104">
        <v>4.5401228618465296E-3</v>
      </c>
      <c r="AY104">
        <v>2.4187990196412601E-3</v>
      </c>
      <c r="AZ104">
        <v>2.9747517743599201E-4</v>
      </c>
    </row>
    <row r="105" spans="1:52" x14ac:dyDescent="0.2">
      <c r="A105" t="s">
        <v>62</v>
      </c>
      <c r="B105">
        <v>2024</v>
      </c>
      <c r="C105">
        <v>80</v>
      </c>
      <c r="D105" t="s">
        <v>60</v>
      </c>
      <c r="E105">
        <v>115530</v>
      </c>
      <c r="F105">
        <v>5875</v>
      </c>
      <c r="G105">
        <v>1400</v>
      </c>
      <c r="H105">
        <v>73</v>
      </c>
      <c r="I105">
        <v>176305</v>
      </c>
      <c r="J105">
        <v>1.49741666666666</v>
      </c>
      <c r="K105">
        <v>1.4333750000000001</v>
      </c>
      <c r="L105">
        <v>3923.4236741054001</v>
      </c>
      <c r="M105">
        <v>50.928752071160702</v>
      </c>
      <c r="N105">
        <v>8.7825772199999999E-2</v>
      </c>
      <c r="O105">
        <v>122.95608108</v>
      </c>
      <c r="P105">
        <v>3301.7396452412399</v>
      </c>
      <c r="Q105">
        <v>0.17610000000000001</v>
      </c>
      <c r="R105">
        <v>0.21390000000000001</v>
      </c>
      <c r="S105">
        <v>0.1525</v>
      </c>
      <c r="T105">
        <v>4.0950825000000002</v>
      </c>
      <c r="U105">
        <v>690.91490900996098</v>
      </c>
      <c r="V105">
        <v>10.8936600680212</v>
      </c>
      <c r="W105">
        <v>503.51529589928901</v>
      </c>
      <c r="X105">
        <v>1205.32386497727</v>
      </c>
      <c r="Y105">
        <v>795.74832094326098</v>
      </c>
      <c r="Z105">
        <v>1156</v>
      </c>
      <c r="AA105">
        <v>0.45272062733315499</v>
      </c>
      <c r="AB105">
        <v>0.42434504825891001</v>
      </c>
      <c r="AC105" t="s">
        <v>55</v>
      </c>
      <c r="AD105">
        <v>0.45272062733315499</v>
      </c>
      <c r="AE105">
        <v>545.67497629213301</v>
      </c>
      <c r="AF105">
        <v>1750.9988412693999</v>
      </c>
      <c r="AG105">
        <v>752</v>
      </c>
      <c r="AH105">
        <v>1128</v>
      </c>
      <c r="AI105">
        <v>1504</v>
      </c>
      <c r="AJ105">
        <v>902.4</v>
      </c>
      <c r="AK105">
        <v>1353.6</v>
      </c>
      <c r="AL105">
        <v>1804.8</v>
      </c>
      <c r="AM105">
        <f>Table1[[#This Row],[gross_cost]]-Table1[[#This Row],[CCR_single_base]]</f>
        <v>998.99884126939992</v>
      </c>
      <c r="AN105">
        <f>Table1[[#This Row],[gross_cost]]-Table1[[#This Row],[CCR_couple_base]]</f>
        <v>622.99884126939992</v>
      </c>
      <c r="AO105">
        <f>Table1[[#This Row],[gross_cost]]-Table1[[#This Row],[CCR_family4_rural]]</f>
        <v>-53.801158730600037</v>
      </c>
      <c r="AP105">
        <v>848.59884126940506</v>
      </c>
      <c r="AQ105">
        <v>397.39884126940501</v>
      </c>
      <c r="AR105">
        <v>-53.801158730594302</v>
      </c>
      <c r="AS105">
        <f>Table1[[#This Row],[direct_tax]]/Table1[[#This Row],[total_exp]]</f>
        <v>6.836583562447293E-3</v>
      </c>
      <c r="AT105">
        <f>Table1[[#This Row],[gross_cost]]/Table1[[#This Row],[total_exp]]</f>
        <v>9.931645961653952E-3</v>
      </c>
      <c r="AU105">
        <v>5.6663103217118298E-3</v>
      </c>
      <c r="AV105">
        <v>3.5336425017407601E-3</v>
      </c>
      <c r="AW105">
        <v>1.4009746817696901E-3</v>
      </c>
      <c r="AX105">
        <v>4.8132431937234002E-3</v>
      </c>
      <c r="AY105">
        <v>2.25404180975812E-3</v>
      </c>
      <c r="AZ105">
        <v>-3.0515957420716499E-4</v>
      </c>
    </row>
    <row r="106" spans="1:52" x14ac:dyDescent="0.2">
      <c r="A106" t="s">
        <v>62</v>
      </c>
      <c r="B106">
        <v>2025</v>
      </c>
      <c r="C106">
        <v>0</v>
      </c>
      <c r="D106" t="s">
        <v>60</v>
      </c>
      <c r="E106">
        <v>115530</v>
      </c>
      <c r="F106">
        <v>5875</v>
      </c>
      <c r="G106">
        <v>1400</v>
      </c>
      <c r="H106">
        <v>73</v>
      </c>
      <c r="I106">
        <v>176305</v>
      </c>
      <c r="J106">
        <v>1.37879166666666</v>
      </c>
      <c r="K106">
        <v>1.2946249999999999</v>
      </c>
      <c r="L106">
        <v>4260.9773050074</v>
      </c>
      <c r="M106">
        <v>56.3869846480641</v>
      </c>
      <c r="N106">
        <v>8.7825772199999999E-2</v>
      </c>
      <c r="O106">
        <v>122.95608108</v>
      </c>
      <c r="P106">
        <v>3301.7396452412399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B106">
        <v>0</v>
      </c>
      <c r="AC106" t="s">
        <v>56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f>Table1[[#This Row],[gross_cost]]-Table1[[#This Row],[CCR_single_base]]</f>
        <v>0</v>
      </c>
      <c r="AN106">
        <f>Table1[[#This Row],[gross_cost]]-Table1[[#This Row],[CCR_couple_base]]</f>
        <v>0</v>
      </c>
      <c r="AO106">
        <f>Table1[[#This Row],[gross_cost]]-Table1[[#This Row],[CCR_family4_rural]]</f>
        <v>0</v>
      </c>
      <c r="AP106">
        <v>0</v>
      </c>
      <c r="AQ106">
        <v>0</v>
      </c>
      <c r="AR106">
        <v>0</v>
      </c>
      <c r="AS106">
        <f>Table1[[#This Row],[direct_tax]]/Table1[[#This Row],[total_exp]]</f>
        <v>0</v>
      </c>
      <c r="AT106">
        <f>Table1[[#This Row],[gross_cost]]/Table1[[#This Row],[total_exp]]</f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">
      <c r="A107" t="s">
        <v>63</v>
      </c>
      <c r="B107">
        <v>2019</v>
      </c>
      <c r="C107">
        <v>20</v>
      </c>
      <c r="D107" t="s">
        <v>53</v>
      </c>
      <c r="E107">
        <v>212525</v>
      </c>
      <c r="F107">
        <v>1288</v>
      </c>
      <c r="G107">
        <v>720</v>
      </c>
      <c r="I107">
        <v>48633</v>
      </c>
      <c r="J107">
        <v>1.0416666666666601</v>
      </c>
      <c r="K107">
        <v>1.1994166666666599</v>
      </c>
      <c r="L107">
        <v>1236.48</v>
      </c>
      <c r="N107">
        <v>8.5847902099999998E-2</v>
      </c>
      <c r="O107">
        <v>61.810489511999997</v>
      </c>
      <c r="P107">
        <v>1659.7970748657301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AB107">
        <v>0.80204768371599999</v>
      </c>
      <c r="AC107" t="s">
        <v>54</v>
      </c>
      <c r="AD107">
        <v>0.80204768371599999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f>Table1[[#This Row],[gross_cost]]-Table1[[#This Row],[CCR_single_base]]</f>
        <v>0</v>
      </c>
      <c r="AN107">
        <f>Table1[[#This Row],[gross_cost]]-Table1[[#This Row],[CCR_couple_base]]</f>
        <v>0</v>
      </c>
      <c r="AO107">
        <f>Table1[[#This Row],[gross_cost]]-Table1[[#This Row],[CCR_family4_rural]]</f>
        <v>0</v>
      </c>
      <c r="AP107">
        <v>0</v>
      </c>
      <c r="AQ107">
        <v>0</v>
      </c>
      <c r="AR107">
        <v>0</v>
      </c>
      <c r="AS107">
        <f>Table1[[#This Row],[direct_tax]]/Table1[[#This Row],[total_exp]]</f>
        <v>0</v>
      </c>
      <c r="AT107">
        <f>Table1[[#This Row],[gross_cost]]/Table1[[#This Row],[total_exp]]</f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">
      <c r="A108" t="s">
        <v>63</v>
      </c>
      <c r="B108">
        <v>2020</v>
      </c>
      <c r="C108">
        <v>30</v>
      </c>
      <c r="D108" t="s">
        <v>53</v>
      </c>
      <c r="E108">
        <v>235915</v>
      </c>
      <c r="F108">
        <v>1007.5</v>
      </c>
      <c r="G108">
        <v>695</v>
      </c>
      <c r="I108">
        <v>45839</v>
      </c>
      <c r="J108">
        <v>0.92125000000000001</v>
      </c>
      <c r="K108">
        <v>1.01843055555555</v>
      </c>
      <c r="L108">
        <v>1093.6227951153301</v>
      </c>
      <c r="N108">
        <v>8.5847902099999998E-2</v>
      </c>
      <c r="O108">
        <v>59.664291959499998</v>
      </c>
      <c r="P108">
        <v>1602.1652319884499</v>
      </c>
      <c r="Q108">
        <v>6.6299999999999998E-2</v>
      </c>
      <c r="R108">
        <v>8.0500000000000002E-2</v>
      </c>
      <c r="S108">
        <v>5.8700000000000002E-2</v>
      </c>
      <c r="T108">
        <v>1.5762711</v>
      </c>
      <c r="U108">
        <v>72.507191316146503</v>
      </c>
      <c r="W108">
        <v>94.047099117722198</v>
      </c>
      <c r="X108">
        <v>166.554290433868</v>
      </c>
      <c r="Y108">
        <v>324.339095887339</v>
      </c>
      <c r="AB108">
        <v>0.68515040877037703</v>
      </c>
      <c r="AC108" t="s">
        <v>54</v>
      </c>
      <c r="AD108">
        <v>0.68515040877037703</v>
      </c>
      <c r="AE108">
        <v>114.114740173225</v>
      </c>
      <c r="AF108">
        <v>280.66903060709399</v>
      </c>
      <c r="AG108">
        <v>444</v>
      </c>
      <c r="AH108">
        <v>666</v>
      </c>
      <c r="AI108">
        <v>888</v>
      </c>
      <c r="AJ108">
        <v>488.4</v>
      </c>
      <c r="AK108">
        <v>732.6</v>
      </c>
      <c r="AL108">
        <v>976.8</v>
      </c>
      <c r="AM108">
        <f>Table1[[#This Row],[gross_cost]]-Table1[[#This Row],[CCR_single_base]]</f>
        <v>-163.33096939290601</v>
      </c>
      <c r="AN108">
        <f>Table1[[#This Row],[gross_cost]]-Table1[[#This Row],[CCR_couple_base]]</f>
        <v>-385.33096939290601</v>
      </c>
      <c r="AO108">
        <f>Table1[[#This Row],[gross_cost]]-Table1[[#This Row],[CCR_family4_rural]]</f>
        <v>-696.13096939290597</v>
      </c>
      <c r="AP108">
        <v>-207.730969392905</v>
      </c>
      <c r="AQ108">
        <v>-451.93096939290501</v>
      </c>
      <c r="AR108">
        <v>-696.13096939290597</v>
      </c>
      <c r="AS108">
        <f>Table1[[#This Row],[direct_tax]]/Table1[[#This Row],[total_exp]]</f>
        <v>3.6334625631856718E-3</v>
      </c>
      <c r="AT108">
        <f>Table1[[#This Row],[gross_cost]]/Table1[[#This Row],[total_exp]]</f>
        <v>6.122930923604223E-3</v>
      </c>
      <c r="AU108">
        <v>-3.5631442525558099E-3</v>
      </c>
      <c r="AV108">
        <v>-8.4061818406358305E-3</v>
      </c>
      <c r="AW108">
        <v>-1.32492194287158E-2</v>
      </c>
      <c r="AX108">
        <v>-4.5317517701718097E-3</v>
      </c>
      <c r="AY108">
        <v>-9.8590931170598299E-3</v>
      </c>
      <c r="AZ108">
        <v>-1.5186434463947801E-2</v>
      </c>
    </row>
    <row r="109" spans="1:52" x14ac:dyDescent="0.2">
      <c r="A109" t="s">
        <v>63</v>
      </c>
      <c r="B109">
        <v>2021</v>
      </c>
      <c r="C109">
        <v>40</v>
      </c>
      <c r="D109" t="s">
        <v>53</v>
      </c>
      <c r="E109">
        <v>204524</v>
      </c>
      <c r="F109">
        <v>727</v>
      </c>
      <c r="G109">
        <v>670</v>
      </c>
      <c r="I109">
        <v>43045</v>
      </c>
      <c r="J109">
        <v>1.2632083333333299</v>
      </c>
      <c r="K109">
        <v>1.24137037037037</v>
      </c>
      <c r="L109">
        <v>575.51868588580601</v>
      </c>
      <c r="N109">
        <v>8.5847902099999998E-2</v>
      </c>
      <c r="O109">
        <v>57.518094407</v>
      </c>
      <c r="P109">
        <v>1544.53338911117</v>
      </c>
      <c r="Q109">
        <v>8.8400000000000006E-2</v>
      </c>
      <c r="R109">
        <v>0.10730000000000001</v>
      </c>
      <c r="S109">
        <v>7.8299999999999995E-2</v>
      </c>
      <c r="T109">
        <v>2.1025898999999999</v>
      </c>
      <c r="U109">
        <v>50.875851832305301</v>
      </c>
      <c r="W109">
        <v>120.936964367404</v>
      </c>
      <c r="X109">
        <v>171.81281619971</v>
      </c>
      <c r="Y109">
        <v>370.661989251818</v>
      </c>
      <c r="Z109">
        <v>598</v>
      </c>
      <c r="AA109">
        <v>0.61332971100453004</v>
      </c>
      <c r="AB109">
        <v>0.56825313382475395</v>
      </c>
      <c r="AC109" t="s">
        <v>55</v>
      </c>
      <c r="AD109">
        <v>0.61332971100453004</v>
      </c>
      <c r="AE109">
        <v>105.377904906642</v>
      </c>
      <c r="AF109">
        <v>277.19072110635199</v>
      </c>
      <c r="AG109">
        <v>490</v>
      </c>
      <c r="AH109">
        <v>735</v>
      </c>
      <c r="AI109">
        <v>981</v>
      </c>
      <c r="AJ109">
        <v>539</v>
      </c>
      <c r="AK109">
        <v>808.5</v>
      </c>
      <c r="AL109">
        <v>1079.0999999999999</v>
      </c>
      <c r="AM109">
        <f>Table1[[#This Row],[gross_cost]]-Table1[[#This Row],[CCR_single_base]]</f>
        <v>-212.80927889364801</v>
      </c>
      <c r="AN109">
        <f>Table1[[#This Row],[gross_cost]]-Table1[[#This Row],[CCR_couple_base]]</f>
        <v>-457.80927889364801</v>
      </c>
      <c r="AO109">
        <f>Table1[[#This Row],[gross_cost]]-Table1[[#This Row],[CCR_family4_rural]]</f>
        <v>-801.90927889364798</v>
      </c>
      <c r="AP109">
        <v>-261.80927889364699</v>
      </c>
      <c r="AQ109">
        <v>-531.30927889364705</v>
      </c>
      <c r="AR109">
        <v>-801.90927889364696</v>
      </c>
      <c r="AS109">
        <f>Table1[[#This Row],[direct_tax]]/Table1[[#This Row],[total_exp]]</f>
        <v>3.9914697688398192E-3</v>
      </c>
      <c r="AT109">
        <f>Table1[[#This Row],[gross_cost]]/Table1[[#This Row],[total_exp]]</f>
        <v>6.4395567686456497E-3</v>
      </c>
      <c r="AU109">
        <v>-4.9438791704877897E-3</v>
      </c>
      <c r="AV109">
        <v>-1.0635597140054499E-2</v>
      </c>
      <c r="AW109">
        <v>-1.63505466115378E-2</v>
      </c>
      <c r="AX109">
        <v>-6.0822227644011396E-3</v>
      </c>
      <c r="AY109">
        <v>-1.23431125309245E-2</v>
      </c>
      <c r="AZ109">
        <v>-1.86295569495562E-2</v>
      </c>
    </row>
    <row r="110" spans="1:52" x14ac:dyDescent="0.2">
      <c r="A110" t="s">
        <v>63</v>
      </c>
      <c r="B110">
        <v>2022</v>
      </c>
      <c r="C110">
        <v>50</v>
      </c>
      <c r="D110" t="s">
        <v>53</v>
      </c>
      <c r="E110">
        <v>245238</v>
      </c>
      <c r="F110">
        <v>1195</v>
      </c>
      <c r="G110">
        <v>745</v>
      </c>
      <c r="I110">
        <v>45624.5</v>
      </c>
      <c r="J110">
        <v>1.5502499999999999</v>
      </c>
      <c r="K110">
        <v>1.90406481481481</v>
      </c>
      <c r="L110">
        <v>770.84341235284603</v>
      </c>
      <c r="N110">
        <v>8.5847902099999998E-2</v>
      </c>
      <c r="O110">
        <v>63.956687064499903</v>
      </c>
      <c r="P110">
        <v>1717.4289177430101</v>
      </c>
      <c r="Q110">
        <v>0.1105</v>
      </c>
      <c r="R110">
        <v>0.1341</v>
      </c>
      <c r="S110">
        <v>9.7900000000000001E-2</v>
      </c>
      <c r="T110">
        <v>2.6289087000000002</v>
      </c>
      <c r="U110">
        <v>85.178197064989504</v>
      </c>
      <c r="W110">
        <v>168.136291047041</v>
      </c>
      <c r="X110">
        <v>253.314488112031</v>
      </c>
      <c r="Y110">
        <v>503.14329574662003</v>
      </c>
      <c r="Z110">
        <v>700</v>
      </c>
      <c r="AA110">
        <v>0.39125375597276302</v>
      </c>
      <c r="AB110">
        <v>0.45135585887913099</v>
      </c>
      <c r="AC110" t="s">
        <v>55</v>
      </c>
      <c r="AD110">
        <v>0.39125375597276302</v>
      </c>
      <c r="AE110">
        <v>99.110244916149995</v>
      </c>
      <c r="AF110">
        <v>352.42473302818098</v>
      </c>
      <c r="AG110">
        <v>539</v>
      </c>
      <c r="AH110">
        <v>809</v>
      </c>
      <c r="AI110">
        <v>1079</v>
      </c>
      <c r="AJ110">
        <v>592.9</v>
      </c>
      <c r="AK110">
        <v>889.9</v>
      </c>
      <c r="AL110">
        <v>1186.9000000000001</v>
      </c>
      <c r="AM110">
        <f>Table1[[#This Row],[gross_cost]]-Table1[[#This Row],[CCR_single_base]]</f>
        <v>-186.57526697181902</v>
      </c>
      <c r="AN110">
        <f>Table1[[#This Row],[gross_cost]]-Table1[[#This Row],[CCR_couple_base]]</f>
        <v>-456.57526697181902</v>
      </c>
      <c r="AO110">
        <f>Table1[[#This Row],[gross_cost]]-Table1[[#This Row],[CCR_family4_rural]]</f>
        <v>-834.47526697181911</v>
      </c>
      <c r="AP110">
        <v>-240.475266971819</v>
      </c>
      <c r="AQ110">
        <v>-537.475266971819</v>
      </c>
      <c r="AR110">
        <v>-834.475266971819</v>
      </c>
      <c r="AS110">
        <f>Table1[[#This Row],[direct_tax]]/Table1[[#This Row],[total_exp]]</f>
        <v>5.5521592151592022E-3</v>
      </c>
      <c r="AT110">
        <f>Table1[[#This Row],[gross_cost]]/Table1[[#This Row],[total_exp]]</f>
        <v>7.7244623618490278E-3</v>
      </c>
      <c r="AU110">
        <v>-4.0893657348972301E-3</v>
      </c>
      <c r="AV110">
        <v>-1.0007238807478801E-2</v>
      </c>
      <c r="AW110">
        <v>-1.5925111880060398E-2</v>
      </c>
      <c r="AX110">
        <v>-5.2707485445718603E-3</v>
      </c>
      <c r="AY110">
        <v>-1.17804089244116E-2</v>
      </c>
      <c r="AZ110">
        <v>-1.8290069304251401E-2</v>
      </c>
    </row>
    <row r="111" spans="1:52" x14ac:dyDescent="0.2">
      <c r="A111" t="s">
        <v>63</v>
      </c>
      <c r="B111">
        <v>2023</v>
      </c>
      <c r="C111">
        <v>65</v>
      </c>
      <c r="D111" t="s">
        <v>53</v>
      </c>
      <c r="E111">
        <v>234626</v>
      </c>
      <c r="F111">
        <v>1663</v>
      </c>
      <c r="G111">
        <v>820</v>
      </c>
      <c r="I111">
        <v>48204</v>
      </c>
      <c r="J111">
        <v>1.3554166666666601</v>
      </c>
      <c r="K111">
        <v>1.7136805555555501</v>
      </c>
      <c r="L111">
        <v>1226.92898862588</v>
      </c>
      <c r="N111">
        <v>8.5847902099999998E-2</v>
      </c>
      <c r="O111">
        <v>70.395279721999998</v>
      </c>
      <c r="P111">
        <v>1890.3244463748599</v>
      </c>
      <c r="Q111">
        <v>0.1431</v>
      </c>
      <c r="R111">
        <v>0.17380000000000001</v>
      </c>
      <c r="S111">
        <v>0.1239</v>
      </c>
      <c r="T111">
        <v>3.3270867000000002</v>
      </c>
      <c r="U111">
        <v>175.573538272364</v>
      </c>
      <c r="W111">
        <v>234.21119890584501</v>
      </c>
      <c r="X111">
        <v>409.78473717820901</v>
      </c>
      <c r="Y111">
        <v>797.61285121417302</v>
      </c>
      <c r="AB111">
        <v>0.27600994646069699</v>
      </c>
      <c r="AC111" t="s">
        <v>54</v>
      </c>
      <c r="AD111">
        <v>0.27600994646069699</v>
      </c>
      <c r="AE111">
        <v>113.104663368968</v>
      </c>
      <c r="AF111">
        <v>522.88940054717796</v>
      </c>
      <c r="AG111">
        <v>772</v>
      </c>
      <c r="AH111">
        <v>1158</v>
      </c>
      <c r="AI111">
        <v>1544</v>
      </c>
      <c r="AJ111">
        <v>849.2</v>
      </c>
      <c r="AK111">
        <v>1273.8</v>
      </c>
      <c r="AL111">
        <v>1698.4</v>
      </c>
      <c r="AM111">
        <f>Table1[[#This Row],[gross_cost]]-Table1[[#This Row],[CCR_single_base]]</f>
        <v>-249.11059945282204</v>
      </c>
      <c r="AN111">
        <f>Table1[[#This Row],[gross_cost]]-Table1[[#This Row],[CCR_couple_base]]</f>
        <v>-635.11059945282204</v>
      </c>
      <c r="AO111">
        <f>Table1[[#This Row],[gross_cost]]-Table1[[#This Row],[CCR_family4_rural]]</f>
        <v>-1175.5105994528221</v>
      </c>
      <c r="AP111">
        <v>-326.31059945282101</v>
      </c>
      <c r="AQ111">
        <v>-750.91059945282097</v>
      </c>
      <c r="AR111">
        <v>-1175.5105994528201</v>
      </c>
      <c r="AS111">
        <f>Table1[[#This Row],[direct_tax]]/Table1[[#This Row],[total_exp]]</f>
        <v>8.5010525512034061E-3</v>
      </c>
      <c r="AT111">
        <f>Table1[[#This Row],[gross_cost]]/Table1[[#This Row],[total_exp]]</f>
        <v>1.0847427610720644E-2</v>
      </c>
      <c r="AU111">
        <v>-5.1678408317322498E-3</v>
      </c>
      <c r="AV111">
        <v>-1.3175475052958701E-2</v>
      </c>
      <c r="AW111">
        <v>-2.11831092741851E-2</v>
      </c>
      <c r="AX111">
        <v>-6.7693676759775397E-3</v>
      </c>
      <c r="AY111">
        <v>-1.55777653193266E-2</v>
      </c>
      <c r="AZ111">
        <v>-2.4386162962675699E-2</v>
      </c>
    </row>
    <row r="112" spans="1:52" x14ac:dyDescent="0.2">
      <c r="A112" t="s">
        <v>63</v>
      </c>
      <c r="B112">
        <v>2024</v>
      </c>
      <c r="C112">
        <v>80</v>
      </c>
      <c r="D112" t="s">
        <v>53</v>
      </c>
      <c r="E112">
        <v>275468</v>
      </c>
      <c r="F112">
        <v>1663</v>
      </c>
      <c r="G112">
        <v>820</v>
      </c>
      <c r="I112">
        <v>48204</v>
      </c>
      <c r="J112">
        <v>1.4460833333333301</v>
      </c>
      <c r="K112">
        <v>1.47389351851851</v>
      </c>
      <c r="L112">
        <v>1150.0028813461599</v>
      </c>
      <c r="N112">
        <v>8.5847902099999998E-2</v>
      </c>
      <c r="O112">
        <v>70.395279721999998</v>
      </c>
      <c r="P112">
        <v>1890.3244463748599</v>
      </c>
      <c r="Q112">
        <v>0.17610000000000001</v>
      </c>
      <c r="R112">
        <v>0.21390000000000001</v>
      </c>
      <c r="S112">
        <v>0.1525</v>
      </c>
      <c r="T112">
        <v>4.0950825000000002</v>
      </c>
      <c r="U112">
        <v>202.515507405059</v>
      </c>
      <c r="W112">
        <v>288.27447807216703</v>
      </c>
      <c r="X112">
        <v>490.78998547722603</v>
      </c>
      <c r="Y112">
        <v>946.49984913256606</v>
      </c>
      <c r="Z112">
        <v>1056</v>
      </c>
      <c r="AA112">
        <v>0.11568955976885401</v>
      </c>
      <c r="AB112">
        <v>0.100664034042262</v>
      </c>
      <c r="AC112" t="s">
        <v>55</v>
      </c>
      <c r="AD112">
        <v>0.11568955976885401</v>
      </c>
      <c r="AE112">
        <v>56.779277358822803</v>
      </c>
      <c r="AF112">
        <v>547.56926283604901</v>
      </c>
      <c r="AG112">
        <v>900</v>
      </c>
      <c r="AH112">
        <v>1350</v>
      </c>
      <c r="AI112">
        <v>1800</v>
      </c>
      <c r="AJ112">
        <v>1080</v>
      </c>
      <c r="AK112">
        <v>1620</v>
      </c>
      <c r="AL112">
        <v>2160</v>
      </c>
      <c r="AM112">
        <f>Table1[[#This Row],[gross_cost]]-Table1[[#This Row],[CCR_single_base]]</f>
        <v>-352.43073716395099</v>
      </c>
      <c r="AN112">
        <f>Table1[[#This Row],[gross_cost]]-Table1[[#This Row],[CCR_couple_base]]</f>
        <v>-802.43073716395099</v>
      </c>
      <c r="AO112">
        <f>Table1[[#This Row],[gross_cost]]-Table1[[#This Row],[CCR_family4_rural]]</f>
        <v>-1612.4307371639511</v>
      </c>
      <c r="AP112">
        <v>-532.43073716394997</v>
      </c>
      <c r="AQ112">
        <v>-1072.43073716395</v>
      </c>
      <c r="AR112">
        <v>-1612.43073716395</v>
      </c>
      <c r="AS112">
        <f>Table1[[#This Row],[direct_tax]]/Table1[[#This Row],[total_exp]]</f>
        <v>1.0181519904514689E-2</v>
      </c>
      <c r="AT112">
        <f>Table1[[#This Row],[gross_cost]]/Table1[[#This Row],[total_exp]]</f>
        <v>1.1359415460045826E-2</v>
      </c>
      <c r="AU112">
        <v>-7.3112342785650597E-3</v>
      </c>
      <c r="AV112">
        <v>-1.6646559147870499E-2</v>
      </c>
      <c r="AW112">
        <v>-2.59818840171759E-2</v>
      </c>
      <c r="AX112">
        <v>-1.1045364226287199E-2</v>
      </c>
      <c r="AY112">
        <v>-2.2247754069453701E-2</v>
      </c>
      <c r="AZ112">
        <v>-3.34501439126203E-2</v>
      </c>
    </row>
    <row r="113" spans="1:52" x14ac:dyDescent="0.2">
      <c r="A113" t="s">
        <v>63</v>
      </c>
      <c r="B113">
        <v>2025</v>
      </c>
      <c r="C113">
        <v>0</v>
      </c>
      <c r="D113" t="s">
        <v>53</v>
      </c>
      <c r="E113">
        <v>275468</v>
      </c>
      <c r="F113">
        <v>1663</v>
      </c>
      <c r="G113">
        <v>820</v>
      </c>
      <c r="I113">
        <v>48204</v>
      </c>
      <c r="J113">
        <v>1.3190833333333301</v>
      </c>
      <c r="K113">
        <v>1.3772731481481399</v>
      </c>
      <c r="L113">
        <v>1260.72398761766</v>
      </c>
      <c r="N113">
        <v>8.5847902099999998E-2</v>
      </c>
      <c r="O113">
        <v>70.395279721999998</v>
      </c>
      <c r="P113">
        <v>1890.3244463748599</v>
      </c>
      <c r="Q113">
        <v>0</v>
      </c>
      <c r="R113">
        <v>0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0</v>
      </c>
      <c r="AB113">
        <v>0</v>
      </c>
      <c r="AC113" t="s">
        <v>56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f>Table1[[#This Row],[gross_cost]]-Table1[[#This Row],[CCR_single_base]]</f>
        <v>0</v>
      </c>
      <c r="AN113">
        <f>Table1[[#This Row],[gross_cost]]-Table1[[#This Row],[CCR_couple_base]]</f>
        <v>0</v>
      </c>
      <c r="AO113">
        <f>Table1[[#This Row],[gross_cost]]-Table1[[#This Row],[CCR_family4_rural]]</f>
        <v>0</v>
      </c>
      <c r="AP113">
        <v>0</v>
      </c>
      <c r="AQ113">
        <v>0</v>
      </c>
      <c r="AR113">
        <v>0</v>
      </c>
      <c r="AS113">
        <f>Table1[[#This Row],[direct_tax]]/Table1[[#This Row],[total_exp]]</f>
        <v>0</v>
      </c>
      <c r="AT113">
        <f>Table1[[#This Row],[gross_cost]]/Table1[[#This Row],[total_exp]]</f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">
      <c r="A114" t="s">
        <v>63</v>
      </c>
      <c r="B114">
        <v>2019</v>
      </c>
      <c r="C114">
        <v>20</v>
      </c>
      <c r="D114" t="s">
        <v>57</v>
      </c>
      <c r="E114">
        <v>265583</v>
      </c>
      <c r="F114">
        <v>1858</v>
      </c>
      <c r="G114">
        <v>843</v>
      </c>
      <c r="H114">
        <v>38</v>
      </c>
      <c r="I114">
        <v>69147</v>
      </c>
      <c r="J114">
        <v>1.0416666666666601</v>
      </c>
      <c r="K114">
        <v>1.1994166666666599</v>
      </c>
      <c r="L114">
        <v>1783.6799999999901</v>
      </c>
      <c r="M114">
        <v>31.6820676717848</v>
      </c>
      <c r="N114">
        <v>8.5847902099999998E-2</v>
      </c>
      <c r="O114">
        <v>72.369781470299998</v>
      </c>
      <c r="P114">
        <v>1943.34574182196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AB114">
        <v>0.80204768371599999</v>
      </c>
      <c r="AC114" t="s">
        <v>54</v>
      </c>
      <c r="AD114">
        <v>0.80204768371599999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f>Table1[[#This Row],[gross_cost]]-Table1[[#This Row],[CCR_single_base]]</f>
        <v>0</v>
      </c>
      <c r="AN114">
        <f>Table1[[#This Row],[gross_cost]]-Table1[[#This Row],[CCR_couple_base]]</f>
        <v>0</v>
      </c>
      <c r="AO114">
        <f>Table1[[#This Row],[gross_cost]]-Table1[[#This Row],[CCR_family4_rural]]</f>
        <v>0</v>
      </c>
      <c r="AP114">
        <v>0</v>
      </c>
      <c r="AQ114">
        <v>0</v>
      </c>
      <c r="AR114">
        <v>0</v>
      </c>
      <c r="AS114">
        <f>Table1[[#This Row],[direct_tax]]/Table1[[#This Row],[total_exp]]</f>
        <v>0</v>
      </c>
      <c r="AT114">
        <f>Table1[[#This Row],[gross_cost]]/Table1[[#This Row],[total_exp]]</f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">
      <c r="A115" t="s">
        <v>63</v>
      </c>
      <c r="B115">
        <v>2020</v>
      </c>
      <c r="C115">
        <v>30</v>
      </c>
      <c r="D115" t="s">
        <v>57</v>
      </c>
      <c r="E115">
        <v>271607</v>
      </c>
      <c r="F115">
        <v>1724.5</v>
      </c>
      <c r="G115">
        <v>938</v>
      </c>
      <c r="H115">
        <v>38.75</v>
      </c>
      <c r="I115">
        <v>68713</v>
      </c>
      <c r="J115">
        <v>0.92125000000000001</v>
      </c>
      <c r="K115">
        <v>1.01843055555555</v>
      </c>
      <c r="L115">
        <v>1871.9131614654</v>
      </c>
      <c r="M115">
        <v>38.0487405730494</v>
      </c>
      <c r="N115">
        <v>8.5847902099999998E-2</v>
      </c>
      <c r="O115">
        <v>80.525332169799995</v>
      </c>
      <c r="P115">
        <v>2162.34674475563</v>
      </c>
      <c r="Q115">
        <v>6.6299999999999998E-2</v>
      </c>
      <c r="R115">
        <v>8.0500000000000002E-2</v>
      </c>
      <c r="S115">
        <v>5.8700000000000002E-2</v>
      </c>
      <c r="T115">
        <v>1.5762711</v>
      </c>
      <c r="U115">
        <v>124.10784260515599</v>
      </c>
      <c r="V115">
        <v>3.06292361613048</v>
      </c>
      <c r="W115">
        <v>126.92975391715601</v>
      </c>
      <c r="X115">
        <v>254.10052013844199</v>
      </c>
      <c r="Y115">
        <v>324.339095887339</v>
      </c>
      <c r="AB115">
        <v>0.68515040877037703</v>
      </c>
      <c r="AC115" t="s">
        <v>54</v>
      </c>
      <c r="AD115">
        <v>0.68515040877037703</v>
      </c>
      <c r="AE115">
        <v>174.097075241619</v>
      </c>
      <c r="AF115">
        <v>428.19759538006201</v>
      </c>
      <c r="AG115">
        <v>444</v>
      </c>
      <c r="AH115">
        <v>666</v>
      </c>
      <c r="AI115">
        <v>888</v>
      </c>
      <c r="AJ115">
        <v>488.4</v>
      </c>
      <c r="AK115">
        <v>732.6</v>
      </c>
      <c r="AL115">
        <v>976.8</v>
      </c>
      <c r="AM115">
        <f>Table1[[#This Row],[gross_cost]]-Table1[[#This Row],[CCR_single_base]]</f>
        <v>-15.802404619937988</v>
      </c>
      <c r="AN115">
        <f>Table1[[#This Row],[gross_cost]]-Table1[[#This Row],[CCR_couple_base]]</f>
        <v>-237.80240461993799</v>
      </c>
      <c r="AO115">
        <f>Table1[[#This Row],[gross_cost]]-Table1[[#This Row],[CCR_family4_rural]]</f>
        <v>-548.60240461993794</v>
      </c>
      <c r="AP115">
        <v>-60.202404619937901</v>
      </c>
      <c r="AQ115">
        <v>-304.40240461993699</v>
      </c>
      <c r="AR115">
        <v>-548.60240461993703</v>
      </c>
      <c r="AS115">
        <f>Table1[[#This Row],[direct_tax]]/Table1[[#This Row],[total_exp]]</f>
        <v>3.6979977608086094E-3</v>
      </c>
      <c r="AT115">
        <f>Table1[[#This Row],[gross_cost]]/Table1[[#This Row],[total_exp]]</f>
        <v>6.2316824382585827E-3</v>
      </c>
      <c r="AU115">
        <v>-2.2997692750917399E-4</v>
      </c>
      <c r="AV115">
        <v>-3.4608066103930502E-3</v>
      </c>
      <c r="AW115">
        <v>-6.6916362932769296E-3</v>
      </c>
      <c r="AX115">
        <v>-8.7614286408595101E-4</v>
      </c>
      <c r="AY115">
        <v>-4.4300555152582098E-3</v>
      </c>
      <c r="AZ115">
        <v>-7.9839681664304798E-3</v>
      </c>
    </row>
    <row r="116" spans="1:52" x14ac:dyDescent="0.2">
      <c r="A116" t="s">
        <v>63</v>
      </c>
      <c r="B116">
        <v>2021</v>
      </c>
      <c r="C116">
        <v>40</v>
      </c>
      <c r="D116" t="s">
        <v>57</v>
      </c>
      <c r="E116">
        <v>292809</v>
      </c>
      <c r="F116">
        <v>1591</v>
      </c>
      <c r="G116">
        <v>1033</v>
      </c>
      <c r="H116">
        <v>39.5</v>
      </c>
      <c r="I116">
        <v>68279</v>
      </c>
      <c r="J116">
        <v>1.2632083333333299</v>
      </c>
      <c r="K116">
        <v>1.24137037037037</v>
      </c>
      <c r="L116">
        <v>1259.4913744763601</v>
      </c>
      <c r="M116">
        <v>31.819673598472399</v>
      </c>
      <c r="N116">
        <v>8.5847902099999998E-2</v>
      </c>
      <c r="O116">
        <v>88.680882869299893</v>
      </c>
      <c r="P116">
        <v>2381.3477476893099</v>
      </c>
      <c r="Q116">
        <v>8.8400000000000006E-2</v>
      </c>
      <c r="R116">
        <v>0.10730000000000001</v>
      </c>
      <c r="S116">
        <v>7.8299999999999995E-2</v>
      </c>
      <c r="T116">
        <v>2.1025898999999999</v>
      </c>
      <c r="U116">
        <v>111.33903750371</v>
      </c>
      <c r="V116">
        <v>3.4142509771160898</v>
      </c>
      <c r="W116">
        <v>186.459528644073</v>
      </c>
      <c r="X116">
        <v>301.21281712490003</v>
      </c>
      <c r="Y116">
        <v>370.661989251818</v>
      </c>
      <c r="Z116">
        <v>598</v>
      </c>
      <c r="AA116">
        <v>0.61332971100453004</v>
      </c>
      <c r="AB116">
        <v>0.56825313382475395</v>
      </c>
      <c r="AC116" t="s">
        <v>55</v>
      </c>
      <c r="AD116">
        <v>0.61332971100453004</v>
      </c>
      <c r="AE116">
        <v>184.74277007807501</v>
      </c>
      <c r="AF116">
        <v>485.95558720297498</v>
      </c>
      <c r="AG116">
        <v>490</v>
      </c>
      <c r="AH116">
        <v>735</v>
      </c>
      <c r="AI116">
        <v>981</v>
      </c>
      <c r="AJ116">
        <v>539</v>
      </c>
      <c r="AK116">
        <v>808.5</v>
      </c>
      <c r="AL116">
        <v>1079.0999999999999</v>
      </c>
      <c r="AM116">
        <f>Table1[[#This Row],[gross_cost]]-Table1[[#This Row],[CCR_single_base]]</f>
        <v>-4.0444127970250179</v>
      </c>
      <c r="AN116">
        <f>Table1[[#This Row],[gross_cost]]-Table1[[#This Row],[CCR_couple_base]]</f>
        <v>-249.04441279702502</v>
      </c>
      <c r="AO116">
        <f>Table1[[#This Row],[gross_cost]]-Table1[[#This Row],[CCR_family4_rural]]</f>
        <v>-593.14441279702487</v>
      </c>
      <c r="AP116">
        <v>-53.0444127970244</v>
      </c>
      <c r="AQ116">
        <v>-322.54441279702399</v>
      </c>
      <c r="AR116">
        <v>-593.14441279702396</v>
      </c>
      <c r="AS116">
        <f>Table1[[#This Row],[direct_tax]]/Table1[[#This Row],[total_exp]]</f>
        <v>4.4115001263184874E-3</v>
      </c>
      <c r="AT116">
        <f>Table1[[#This Row],[gross_cost]]/Table1[[#This Row],[total_exp]]</f>
        <v>7.1172042238898487E-3</v>
      </c>
      <c r="AU116" s="1">
        <v>-5.9233626693777703E-5</v>
      </c>
      <c r="AV116">
        <v>-3.6474525519855899E-3</v>
      </c>
      <c r="AW116">
        <v>-7.2503172688092102E-3</v>
      </c>
      <c r="AX116">
        <v>-7.7687741175214099E-4</v>
      </c>
      <c r="AY116">
        <v>-4.7239182295731397E-3</v>
      </c>
      <c r="AZ116">
        <v>-8.6870694180791203E-3</v>
      </c>
    </row>
    <row r="117" spans="1:52" x14ac:dyDescent="0.2">
      <c r="A117" t="s">
        <v>63</v>
      </c>
      <c r="B117">
        <v>2022</v>
      </c>
      <c r="C117">
        <v>50</v>
      </c>
      <c r="D117" t="s">
        <v>57</v>
      </c>
      <c r="E117">
        <v>276414</v>
      </c>
      <c r="F117">
        <v>2652.5</v>
      </c>
      <c r="G117">
        <v>1101</v>
      </c>
      <c r="H117">
        <v>40.25</v>
      </c>
      <c r="I117">
        <v>74299.5</v>
      </c>
      <c r="J117">
        <v>1.5502499999999999</v>
      </c>
      <c r="K117">
        <v>1.90406481481481</v>
      </c>
      <c r="L117">
        <v>1711.01435252378</v>
      </c>
      <c r="M117">
        <v>21.138986281785002</v>
      </c>
      <c r="N117">
        <v>8.5847902099999998E-2</v>
      </c>
      <c r="O117">
        <v>94.518540212099893</v>
      </c>
      <c r="P117">
        <v>2538.1063603155199</v>
      </c>
      <c r="Q117">
        <v>0.1105</v>
      </c>
      <c r="R117">
        <v>0.1341</v>
      </c>
      <c r="S117">
        <v>9.7900000000000001E-2</v>
      </c>
      <c r="T117">
        <v>2.6289087000000002</v>
      </c>
      <c r="U117">
        <v>189.06708595387801</v>
      </c>
      <c r="V117">
        <v>2.83473806038737</v>
      </c>
      <c r="W117">
        <v>248.48061267488899</v>
      </c>
      <c r="X117">
        <v>440.38243668915499</v>
      </c>
      <c r="Y117">
        <v>503.14329574662003</v>
      </c>
      <c r="Z117">
        <v>700</v>
      </c>
      <c r="AA117">
        <v>0.39125375597276302</v>
      </c>
      <c r="AB117">
        <v>0.45135585887913099</v>
      </c>
      <c r="AC117" t="s">
        <v>55</v>
      </c>
      <c r="AD117">
        <v>0.39125375597276302</v>
      </c>
      <c r="AE117">
        <v>172.301282419069</v>
      </c>
      <c r="AF117">
        <v>612.68371910822498</v>
      </c>
      <c r="AG117">
        <v>539</v>
      </c>
      <c r="AH117">
        <v>809</v>
      </c>
      <c r="AI117">
        <v>1079</v>
      </c>
      <c r="AJ117">
        <v>592.9</v>
      </c>
      <c r="AK117">
        <v>889.9</v>
      </c>
      <c r="AL117">
        <v>1186.9000000000001</v>
      </c>
      <c r="AM117">
        <f>Table1[[#This Row],[gross_cost]]-Table1[[#This Row],[CCR_single_base]]</f>
        <v>73.683719108224977</v>
      </c>
      <c r="AN117">
        <f>Table1[[#This Row],[gross_cost]]-Table1[[#This Row],[CCR_couple_base]]</f>
        <v>-196.31628089177502</v>
      </c>
      <c r="AO117">
        <f>Table1[[#This Row],[gross_cost]]-Table1[[#This Row],[CCR_family4_rural]]</f>
        <v>-574.21628089177511</v>
      </c>
      <c r="AP117">
        <v>19.783719108224801</v>
      </c>
      <c r="AQ117">
        <v>-277.216280891775</v>
      </c>
      <c r="AR117">
        <v>-574.216280891775</v>
      </c>
      <c r="AS117">
        <f>Table1[[#This Row],[direct_tax]]/Table1[[#This Row],[total_exp]]</f>
        <v>5.9271251716250441E-3</v>
      </c>
      <c r="AT117">
        <f>Table1[[#This Row],[gross_cost]]/Table1[[#This Row],[total_exp]]</f>
        <v>8.2461351571440581E-3</v>
      </c>
      <c r="AU117">
        <v>9.9171217986964897E-4</v>
      </c>
      <c r="AV117">
        <v>-2.6422288291546299E-3</v>
      </c>
      <c r="AW117">
        <v>-6.2761698381789202E-3</v>
      </c>
      <c r="AX117">
        <v>2.6626988214220598E-4</v>
      </c>
      <c r="AY117">
        <v>-3.7310652277845E-3</v>
      </c>
      <c r="AZ117">
        <v>-7.72840033771122E-3</v>
      </c>
    </row>
    <row r="118" spans="1:52" x14ac:dyDescent="0.2">
      <c r="A118" t="s">
        <v>63</v>
      </c>
      <c r="B118">
        <v>2023</v>
      </c>
      <c r="C118">
        <v>65</v>
      </c>
      <c r="D118" t="s">
        <v>57</v>
      </c>
      <c r="E118">
        <v>308066</v>
      </c>
      <c r="F118">
        <v>3714</v>
      </c>
      <c r="G118">
        <v>1169</v>
      </c>
      <c r="H118">
        <v>41</v>
      </c>
      <c r="I118">
        <v>80320</v>
      </c>
      <c r="J118">
        <v>1.3554166666666601</v>
      </c>
      <c r="K118">
        <v>1.7136805555555501</v>
      </c>
      <c r="L118">
        <v>2740.1168152474602</v>
      </c>
      <c r="M118">
        <v>23.925112452891302</v>
      </c>
      <c r="N118">
        <v>8.5847902099999998E-2</v>
      </c>
      <c r="O118">
        <v>100.356197554899</v>
      </c>
      <c r="P118">
        <v>2694.8649729417298</v>
      </c>
      <c r="Q118">
        <v>0.1431</v>
      </c>
      <c r="R118">
        <v>0.17380000000000001</v>
      </c>
      <c r="S118">
        <v>0.1239</v>
      </c>
      <c r="T118">
        <v>3.3270867000000002</v>
      </c>
      <c r="U118">
        <v>392.11071626191199</v>
      </c>
      <c r="V118">
        <v>4.1581845443125101</v>
      </c>
      <c r="W118">
        <v>333.89377014747998</v>
      </c>
      <c r="X118">
        <v>730.16267095370495</v>
      </c>
      <c r="Y118">
        <v>797.61285121417302</v>
      </c>
      <c r="AB118">
        <v>0.27600994646069699</v>
      </c>
      <c r="AC118" t="s">
        <v>54</v>
      </c>
      <c r="AD118">
        <v>0.27600994646069699</v>
      </c>
      <c r="AE118">
        <v>201.53215971753099</v>
      </c>
      <c r="AF118">
        <v>931.69483067123599</v>
      </c>
      <c r="AG118">
        <v>772</v>
      </c>
      <c r="AH118">
        <v>1158</v>
      </c>
      <c r="AI118">
        <v>1544</v>
      </c>
      <c r="AJ118">
        <v>849.2</v>
      </c>
      <c r="AK118">
        <v>1273.8</v>
      </c>
      <c r="AL118">
        <v>1698.4</v>
      </c>
      <c r="AM118">
        <f>Table1[[#This Row],[gross_cost]]-Table1[[#This Row],[CCR_single_base]]</f>
        <v>159.69483067123599</v>
      </c>
      <c r="AN118">
        <f>Table1[[#This Row],[gross_cost]]-Table1[[#This Row],[CCR_couple_base]]</f>
        <v>-226.30516932876401</v>
      </c>
      <c r="AO118">
        <f>Table1[[#This Row],[gross_cost]]-Table1[[#This Row],[CCR_family4_rural]]</f>
        <v>-766.7051693287641</v>
      </c>
      <c r="AP118">
        <v>82.494830671236599</v>
      </c>
      <c r="AQ118">
        <v>-342.105169328763</v>
      </c>
      <c r="AR118">
        <v>-766.70516932876296</v>
      </c>
      <c r="AS118">
        <f>Table1[[#This Row],[direct_tax]]/Table1[[#This Row],[total_exp]]</f>
        <v>9.0906707041048928E-3</v>
      </c>
      <c r="AT118">
        <f>Table1[[#This Row],[gross_cost]]/Table1[[#This Row],[total_exp]]</f>
        <v>1.1599786238436703E-2</v>
      </c>
      <c r="AU118">
        <v>1.9882324535761501E-3</v>
      </c>
      <c r="AV118">
        <v>-2.8175444388541201E-3</v>
      </c>
      <c r="AW118">
        <v>-7.6233213312843998E-3</v>
      </c>
      <c r="AX118">
        <v>1.0270770750900899E-3</v>
      </c>
      <c r="AY118">
        <v>-4.25927750658321E-3</v>
      </c>
      <c r="AZ118">
        <v>-9.5456320882565098E-3</v>
      </c>
    </row>
    <row r="119" spans="1:52" x14ac:dyDescent="0.2">
      <c r="A119" t="s">
        <v>63</v>
      </c>
      <c r="B119">
        <v>2024</v>
      </c>
      <c r="C119">
        <v>80</v>
      </c>
      <c r="D119" t="s">
        <v>57</v>
      </c>
      <c r="E119">
        <v>312695</v>
      </c>
      <c r="F119">
        <v>3714</v>
      </c>
      <c r="G119">
        <v>1169</v>
      </c>
      <c r="H119">
        <v>41</v>
      </c>
      <c r="I119">
        <v>80320</v>
      </c>
      <c r="J119">
        <v>1.4460833333333301</v>
      </c>
      <c r="K119">
        <v>1.47389351851851</v>
      </c>
      <c r="L119">
        <v>2568.3167175704398</v>
      </c>
      <c r="M119">
        <v>27.817477643304301</v>
      </c>
      <c r="N119">
        <v>8.5847902099999998E-2</v>
      </c>
      <c r="O119">
        <v>100.356197554899</v>
      </c>
      <c r="P119">
        <v>2694.8649729417298</v>
      </c>
      <c r="Q119">
        <v>0.17610000000000001</v>
      </c>
      <c r="R119">
        <v>0.21390000000000001</v>
      </c>
      <c r="S119">
        <v>0.1525</v>
      </c>
      <c r="T119">
        <v>4.0950825000000002</v>
      </c>
      <c r="U119">
        <v>452.28057396415602</v>
      </c>
      <c r="V119">
        <v>5.9501584679027903</v>
      </c>
      <c r="W119">
        <v>410.96690837361302</v>
      </c>
      <c r="X119">
        <v>869.19764080567199</v>
      </c>
      <c r="Y119">
        <v>946.49984913256606</v>
      </c>
      <c r="Z119">
        <v>1056</v>
      </c>
      <c r="AA119">
        <v>0.11568955976885401</v>
      </c>
      <c r="AB119">
        <v>0.100664034042262</v>
      </c>
      <c r="AC119" t="s">
        <v>55</v>
      </c>
      <c r="AD119">
        <v>0.11568955976885401</v>
      </c>
      <c r="AE119">
        <v>100.55709241693501</v>
      </c>
      <c r="AF119">
        <v>969.754733222607</v>
      </c>
      <c r="AG119">
        <v>900</v>
      </c>
      <c r="AH119">
        <v>1350</v>
      </c>
      <c r="AI119">
        <v>1800</v>
      </c>
      <c r="AJ119">
        <v>1080</v>
      </c>
      <c r="AK119">
        <v>1620</v>
      </c>
      <c r="AL119">
        <v>2160</v>
      </c>
      <c r="AM119">
        <f>Table1[[#This Row],[gross_cost]]-Table1[[#This Row],[CCR_single_base]]</f>
        <v>69.754733222607001</v>
      </c>
      <c r="AN119">
        <f>Table1[[#This Row],[gross_cost]]-Table1[[#This Row],[CCR_couple_base]]</f>
        <v>-380.245266777393</v>
      </c>
      <c r="AO119">
        <f>Table1[[#This Row],[gross_cost]]-Table1[[#This Row],[CCR_family4_rural]]</f>
        <v>-1190.245266777393</v>
      </c>
      <c r="AP119">
        <v>-110.245266777392</v>
      </c>
      <c r="AQ119">
        <v>-650.24526677739198</v>
      </c>
      <c r="AR119">
        <v>-1190.24526677739</v>
      </c>
      <c r="AS119">
        <f>Table1[[#This Row],[direct_tax]]/Table1[[#This Row],[total_exp]]</f>
        <v>1.0821683774971017E-2</v>
      </c>
      <c r="AT119">
        <f>Table1[[#This Row],[gross_cost]]/Table1[[#This Row],[total_exp]]</f>
        <v>1.2073639606855167E-2</v>
      </c>
      <c r="AU119">
        <v>8.6846032398664897E-4</v>
      </c>
      <c r="AV119">
        <v>-4.73412931744761E-3</v>
      </c>
      <c r="AW119">
        <v>-1.03367189588818E-2</v>
      </c>
      <c r="AX119">
        <v>-1.37257553258705E-3</v>
      </c>
      <c r="AY119">
        <v>-8.09568310230817E-3</v>
      </c>
      <c r="AZ119">
        <v>-1.48187906720292E-2</v>
      </c>
    </row>
    <row r="120" spans="1:52" x14ac:dyDescent="0.2">
      <c r="A120" t="s">
        <v>63</v>
      </c>
      <c r="B120">
        <v>2025</v>
      </c>
      <c r="C120">
        <v>0</v>
      </c>
      <c r="D120" t="s">
        <v>57</v>
      </c>
      <c r="E120">
        <v>312695</v>
      </c>
      <c r="F120">
        <v>3714</v>
      </c>
      <c r="G120">
        <v>1169</v>
      </c>
      <c r="H120">
        <v>41</v>
      </c>
      <c r="I120">
        <v>80320</v>
      </c>
      <c r="J120">
        <v>1.3190833333333301</v>
      </c>
      <c r="K120">
        <v>1.3772731481481399</v>
      </c>
      <c r="L120">
        <v>2815.59163560553</v>
      </c>
      <c r="M120">
        <v>29.768967800706498</v>
      </c>
      <c r="N120">
        <v>8.5847902099999998E-2</v>
      </c>
      <c r="O120">
        <v>100.356197554899</v>
      </c>
      <c r="P120">
        <v>2694.8649729417298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AB120">
        <v>0</v>
      </c>
      <c r="AC120" t="s">
        <v>56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f>Table1[[#This Row],[gross_cost]]-Table1[[#This Row],[CCR_single_base]]</f>
        <v>0</v>
      </c>
      <c r="AN120">
        <f>Table1[[#This Row],[gross_cost]]-Table1[[#This Row],[CCR_couple_base]]</f>
        <v>0</v>
      </c>
      <c r="AO120">
        <f>Table1[[#This Row],[gross_cost]]-Table1[[#This Row],[CCR_family4_rural]]</f>
        <v>0</v>
      </c>
      <c r="AP120">
        <v>0</v>
      </c>
      <c r="AQ120">
        <v>0</v>
      </c>
      <c r="AR120">
        <v>0</v>
      </c>
      <c r="AS120">
        <f>Table1[[#This Row],[direct_tax]]/Table1[[#This Row],[total_exp]]</f>
        <v>0</v>
      </c>
      <c r="AT120">
        <f>Table1[[#This Row],[gross_cost]]/Table1[[#This Row],[total_exp]]</f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">
      <c r="A121" t="s">
        <v>63</v>
      </c>
      <c r="B121">
        <v>2019</v>
      </c>
      <c r="C121">
        <v>20</v>
      </c>
      <c r="D121" t="s">
        <v>58</v>
      </c>
      <c r="E121">
        <v>310740</v>
      </c>
      <c r="F121">
        <v>2222</v>
      </c>
      <c r="G121">
        <v>971</v>
      </c>
      <c r="H121">
        <v>30</v>
      </c>
      <c r="I121">
        <v>96253</v>
      </c>
      <c r="J121">
        <v>1.0416666666666601</v>
      </c>
      <c r="K121">
        <v>1.1994166666666599</v>
      </c>
      <c r="L121">
        <v>2133.12</v>
      </c>
      <c r="M121">
        <v>25.012158688251201</v>
      </c>
      <c r="N121">
        <v>8.5847902099999998E-2</v>
      </c>
      <c r="O121">
        <v>83.358312939100003</v>
      </c>
      <c r="P121">
        <v>2238.42077735365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AB121">
        <v>0.80204768371599999</v>
      </c>
      <c r="AC121" t="s">
        <v>54</v>
      </c>
      <c r="AD121">
        <v>0.80204768371599999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f>Table1[[#This Row],[gross_cost]]-Table1[[#This Row],[CCR_single_base]]</f>
        <v>0</v>
      </c>
      <c r="AN121">
        <f>Table1[[#This Row],[gross_cost]]-Table1[[#This Row],[CCR_couple_base]]</f>
        <v>0</v>
      </c>
      <c r="AO121">
        <f>Table1[[#This Row],[gross_cost]]-Table1[[#This Row],[CCR_family4_rural]]</f>
        <v>0</v>
      </c>
      <c r="AP121">
        <v>0</v>
      </c>
      <c r="AQ121">
        <v>0</v>
      </c>
      <c r="AR121">
        <v>0</v>
      </c>
      <c r="AS121">
        <f>Table1[[#This Row],[direct_tax]]/Table1[[#This Row],[total_exp]]</f>
        <v>0</v>
      </c>
      <c r="AT121">
        <f>Table1[[#This Row],[gross_cost]]/Table1[[#This Row],[total_exp]]</f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">
      <c r="A122" t="s">
        <v>63</v>
      </c>
      <c r="B122">
        <v>2020</v>
      </c>
      <c r="C122">
        <v>30</v>
      </c>
      <c r="D122" t="s">
        <v>58</v>
      </c>
      <c r="E122">
        <v>296182</v>
      </c>
      <c r="F122">
        <v>2080</v>
      </c>
      <c r="G122">
        <v>961.5</v>
      </c>
      <c r="H122">
        <v>37.5</v>
      </c>
      <c r="I122">
        <v>91809.5</v>
      </c>
      <c r="J122">
        <v>0.92125000000000001</v>
      </c>
      <c r="K122">
        <v>1.01843055555555</v>
      </c>
      <c r="L122">
        <v>2257.8018995929401</v>
      </c>
      <c r="M122">
        <v>36.821361844886503</v>
      </c>
      <c r="N122">
        <v>8.5847902099999998E-2</v>
      </c>
      <c r="O122">
        <v>82.542757869149995</v>
      </c>
      <c r="P122">
        <v>2216.5206770602799</v>
      </c>
      <c r="Q122">
        <v>6.6299999999999998E-2</v>
      </c>
      <c r="R122">
        <v>8.0500000000000002E-2</v>
      </c>
      <c r="S122">
        <v>5.8700000000000002E-2</v>
      </c>
      <c r="T122">
        <v>1.5762711</v>
      </c>
      <c r="U122">
        <v>149.69226594301199</v>
      </c>
      <c r="V122">
        <v>2.96411962851337</v>
      </c>
      <c r="W122">
        <v>130.10976374343801</v>
      </c>
      <c r="X122">
        <v>282.76614931496403</v>
      </c>
      <c r="Y122">
        <v>324.339095887339</v>
      </c>
      <c r="AB122">
        <v>0.68515040877037703</v>
      </c>
      <c r="AC122" t="s">
        <v>54</v>
      </c>
      <c r="AD122">
        <v>0.68515040877037703</v>
      </c>
      <c r="AE122">
        <v>193.73734278957301</v>
      </c>
      <c r="AF122">
        <v>476.50349210453697</v>
      </c>
      <c r="AG122">
        <v>444</v>
      </c>
      <c r="AH122">
        <v>666</v>
      </c>
      <c r="AI122">
        <v>888</v>
      </c>
      <c r="AJ122">
        <v>488.4</v>
      </c>
      <c r="AK122">
        <v>732.6</v>
      </c>
      <c r="AL122">
        <v>976.8</v>
      </c>
      <c r="AM122">
        <f>Table1[[#This Row],[gross_cost]]-Table1[[#This Row],[CCR_single_base]]</f>
        <v>32.503492104536974</v>
      </c>
      <c r="AN122">
        <f>Table1[[#This Row],[gross_cost]]-Table1[[#This Row],[CCR_couple_base]]</f>
        <v>-189.49650789546303</v>
      </c>
      <c r="AO122">
        <f>Table1[[#This Row],[gross_cost]]-Table1[[#This Row],[CCR_family4_rural]]</f>
        <v>-500.29650789546298</v>
      </c>
      <c r="AP122">
        <v>-11.8965078954622</v>
      </c>
      <c r="AQ122">
        <v>-256.09650789546203</v>
      </c>
      <c r="AR122">
        <v>-500.29650789546201</v>
      </c>
      <c r="AS122">
        <f>Table1[[#This Row],[direct_tax]]/Table1[[#This Row],[total_exp]]</f>
        <v>3.0799225495723647E-3</v>
      </c>
      <c r="AT122">
        <f>Table1[[#This Row],[gross_cost]]/Table1[[#This Row],[total_exp]]</f>
        <v>5.1901327433929714E-3</v>
      </c>
      <c r="AU122">
        <v>3.5403190415521E-4</v>
      </c>
      <c r="AV122">
        <v>-2.0640185154636699E-3</v>
      </c>
      <c r="AW122">
        <v>-4.4820689350825596E-3</v>
      </c>
      <c r="AX122">
        <v>-1.2957817976856699E-4</v>
      </c>
      <c r="AY122">
        <v>-2.78943364134934E-3</v>
      </c>
      <c r="AZ122">
        <v>-5.4492891029301101E-3</v>
      </c>
    </row>
    <row r="123" spans="1:52" x14ac:dyDescent="0.2">
      <c r="A123" t="s">
        <v>63</v>
      </c>
      <c r="B123">
        <v>2021</v>
      </c>
      <c r="C123">
        <v>40</v>
      </c>
      <c r="D123" t="s">
        <v>58</v>
      </c>
      <c r="E123">
        <v>274423</v>
      </c>
      <c r="F123">
        <v>1938</v>
      </c>
      <c r="G123">
        <v>952</v>
      </c>
      <c r="H123">
        <v>45</v>
      </c>
      <c r="I123">
        <v>87366</v>
      </c>
      <c r="J123">
        <v>1.2632083333333299</v>
      </c>
      <c r="K123">
        <v>1.24137037037037</v>
      </c>
      <c r="L123">
        <v>1534.18873899132</v>
      </c>
      <c r="M123">
        <v>36.250261061550802</v>
      </c>
      <c r="N123">
        <v>8.5847902099999998E-2</v>
      </c>
      <c r="O123">
        <v>81.727202799200001</v>
      </c>
      <c r="P123">
        <v>2194.6205767669098</v>
      </c>
      <c r="Q123">
        <v>8.8400000000000006E-2</v>
      </c>
      <c r="R123">
        <v>0.10730000000000001</v>
      </c>
      <c r="S123">
        <v>7.8299999999999995E-2</v>
      </c>
      <c r="T123">
        <v>2.1025898999999999</v>
      </c>
      <c r="U123">
        <v>135.622284526833</v>
      </c>
      <c r="V123">
        <v>3.8896530119044002</v>
      </c>
      <c r="W123">
        <v>171.83879116084901</v>
      </c>
      <c r="X123">
        <v>311.35072869958702</v>
      </c>
      <c r="Y123">
        <v>370.661989251818</v>
      </c>
      <c r="Z123">
        <v>598</v>
      </c>
      <c r="AA123">
        <v>0.61332971100453004</v>
      </c>
      <c r="AB123">
        <v>0.56825313382475395</v>
      </c>
      <c r="AC123" t="s">
        <v>55</v>
      </c>
      <c r="AD123">
        <v>0.61332971100453004</v>
      </c>
      <c r="AE123">
        <v>190.96065245436699</v>
      </c>
      <c r="AF123">
        <v>502.31138115395498</v>
      </c>
      <c r="AG123">
        <v>490</v>
      </c>
      <c r="AH123">
        <v>735</v>
      </c>
      <c r="AI123">
        <v>981</v>
      </c>
      <c r="AJ123">
        <v>539</v>
      </c>
      <c r="AK123">
        <v>808.5</v>
      </c>
      <c r="AL123">
        <v>1079.0999999999999</v>
      </c>
      <c r="AM123">
        <f>Table1[[#This Row],[gross_cost]]-Table1[[#This Row],[CCR_single_base]]</f>
        <v>12.311381153954983</v>
      </c>
      <c r="AN123">
        <f>Table1[[#This Row],[gross_cost]]-Table1[[#This Row],[CCR_couple_base]]</f>
        <v>-232.68861884604502</v>
      </c>
      <c r="AO123">
        <f>Table1[[#This Row],[gross_cost]]-Table1[[#This Row],[CCR_family4_rural]]</f>
        <v>-576.78861884604498</v>
      </c>
      <c r="AP123">
        <v>-36.688618846044903</v>
      </c>
      <c r="AQ123">
        <v>-306.18861884604502</v>
      </c>
      <c r="AR123">
        <v>-576.78861884604498</v>
      </c>
      <c r="AS123">
        <f>Table1[[#This Row],[direct_tax]]/Table1[[#This Row],[total_exp]]</f>
        <v>3.5637516734151387E-3</v>
      </c>
      <c r="AT123">
        <f>Table1[[#This Row],[gross_cost]]/Table1[[#This Row],[total_exp]]</f>
        <v>5.7495064573627611E-3</v>
      </c>
      <c r="AU123">
        <v>1.4091730368741799E-4</v>
      </c>
      <c r="AV123">
        <v>-2.66337727315025E-3</v>
      </c>
      <c r="AW123">
        <v>-5.4791179503015401E-3</v>
      </c>
      <c r="AX123">
        <v>-4.1994161168011499E-4</v>
      </c>
      <c r="AY123">
        <v>-3.5046656462015499E-3</v>
      </c>
      <c r="AZ123">
        <v>-6.60198039106797E-3</v>
      </c>
    </row>
    <row r="124" spans="1:52" x14ac:dyDescent="0.2">
      <c r="A124" t="s">
        <v>63</v>
      </c>
      <c r="B124">
        <v>2022</v>
      </c>
      <c r="C124">
        <v>50</v>
      </c>
      <c r="D124" t="s">
        <v>58</v>
      </c>
      <c r="E124">
        <v>285966</v>
      </c>
      <c r="F124">
        <v>2428.5</v>
      </c>
      <c r="G124">
        <v>1193.5</v>
      </c>
      <c r="H124">
        <v>52.5</v>
      </c>
      <c r="I124">
        <v>96569</v>
      </c>
      <c r="J124">
        <v>1.5502499999999999</v>
      </c>
      <c r="K124">
        <v>1.90406481481481</v>
      </c>
      <c r="L124">
        <v>1566.5215287856699</v>
      </c>
      <c r="M124">
        <v>27.5725908023283</v>
      </c>
      <c r="N124">
        <v>8.5847902099999998E-2</v>
      </c>
      <c r="O124">
        <v>102.459471156349</v>
      </c>
      <c r="P124">
        <v>2751.3441789614599</v>
      </c>
      <c r="Q124">
        <v>0.1105</v>
      </c>
      <c r="R124">
        <v>0.1341</v>
      </c>
      <c r="S124">
        <v>9.7900000000000001E-2</v>
      </c>
      <c r="T124">
        <v>2.6289087000000002</v>
      </c>
      <c r="U124">
        <v>173.10062893081701</v>
      </c>
      <c r="V124">
        <v>3.6974844265922302</v>
      </c>
      <c r="W124">
        <v>269.35659512032697</v>
      </c>
      <c r="X124">
        <v>446.15470847773702</v>
      </c>
      <c r="Y124">
        <v>503.14329574662003</v>
      </c>
      <c r="Z124">
        <v>700</v>
      </c>
      <c r="AA124">
        <v>0.39125375597276302</v>
      </c>
      <c r="AB124">
        <v>0.45135585887913099</v>
      </c>
      <c r="AC124" t="s">
        <v>55</v>
      </c>
      <c r="AD124">
        <v>0.39125375597276302</v>
      </c>
      <c r="AE124">
        <v>174.55970543684799</v>
      </c>
      <c r="AF124">
        <v>620.71441391458495</v>
      </c>
      <c r="AG124">
        <v>539</v>
      </c>
      <c r="AH124">
        <v>809</v>
      </c>
      <c r="AI124">
        <v>1079</v>
      </c>
      <c r="AJ124">
        <v>592.9</v>
      </c>
      <c r="AK124">
        <v>889.9</v>
      </c>
      <c r="AL124">
        <v>1186.9000000000001</v>
      </c>
      <c r="AM124">
        <f>Table1[[#This Row],[gross_cost]]-Table1[[#This Row],[CCR_single_base]]</f>
        <v>81.714413914584952</v>
      </c>
      <c r="AN124">
        <f>Table1[[#This Row],[gross_cost]]-Table1[[#This Row],[CCR_couple_base]]</f>
        <v>-188.28558608541505</v>
      </c>
      <c r="AO124">
        <f>Table1[[#This Row],[gross_cost]]-Table1[[#This Row],[CCR_family4_rural]]</f>
        <v>-566.18558608541514</v>
      </c>
      <c r="AP124">
        <v>27.814413914585302</v>
      </c>
      <c r="AQ124">
        <v>-269.185586085414</v>
      </c>
      <c r="AR124">
        <v>-566.185586085414</v>
      </c>
      <c r="AS124">
        <f>Table1[[#This Row],[direct_tax]]/Table1[[#This Row],[total_exp]]</f>
        <v>4.6200613911062246E-3</v>
      </c>
      <c r="AT124">
        <f>Table1[[#This Row],[gross_cost]]/Table1[[#This Row],[total_exp]]</f>
        <v>6.4276777632012857E-3</v>
      </c>
      <c r="AU124">
        <v>8.4617645325710505E-4</v>
      </c>
      <c r="AV124">
        <v>-1.9497518467149299E-3</v>
      </c>
      <c r="AW124">
        <v>-4.7456801466869702E-3</v>
      </c>
      <c r="AX124">
        <v>2.88026322262685E-4</v>
      </c>
      <c r="AY124">
        <v>-2.7874948077065498E-3</v>
      </c>
      <c r="AZ124">
        <v>-5.8630159376757999E-3</v>
      </c>
    </row>
    <row r="125" spans="1:52" x14ac:dyDescent="0.2">
      <c r="A125" t="s">
        <v>63</v>
      </c>
      <c r="B125">
        <v>2023</v>
      </c>
      <c r="C125">
        <v>65</v>
      </c>
      <c r="D125" t="s">
        <v>58</v>
      </c>
      <c r="E125">
        <v>280407</v>
      </c>
      <c r="F125">
        <v>2919</v>
      </c>
      <c r="G125">
        <v>1435</v>
      </c>
      <c r="H125">
        <v>60</v>
      </c>
      <c r="I125">
        <v>105772</v>
      </c>
      <c r="J125">
        <v>1.3554166666666601</v>
      </c>
      <c r="K125">
        <v>1.7136805555555501</v>
      </c>
      <c r="L125">
        <v>2153.5813095603999</v>
      </c>
      <c r="M125">
        <v>35.012359687158003</v>
      </c>
      <c r="N125">
        <v>8.5847902099999998E-2</v>
      </c>
      <c r="O125">
        <v>123.1917395135</v>
      </c>
      <c r="P125">
        <v>3308.0677811560099</v>
      </c>
      <c r="Q125">
        <v>0.1431</v>
      </c>
      <c r="R125">
        <v>0.17380000000000001</v>
      </c>
      <c r="S125">
        <v>0.1239</v>
      </c>
      <c r="T125">
        <v>3.3270867000000002</v>
      </c>
      <c r="U125">
        <v>308.17748539809401</v>
      </c>
      <c r="V125">
        <v>6.0851481136280698</v>
      </c>
      <c r="W125">
        <v>409.86959808523</v>
      </c>
      <c r="X125">
        <v>724.13223159695201</v>
      </c>
      <c r="Y125">
        <v>797.61285121417302</v>
      </c>
      <c r="AB125">
        <v>0.27600994646069699</v>
      </c>
      <c r="AC125" t="s">
        <v>54</v>
      </c>
      <c r="AD125">
        <v>0.27600994646069699</v>
      </c>
      <c r="AE125">
        <v>199.86769847354</v>
      </c>
      <c r="AF125">
        <v>923.99993007049204</v>
      </c>
      <c r="AG125">
        <v>772</v>
      </c>
      <c r="AH125">
        <v>1158</v>
      </c>
      <c r="AI125">
        <v>1544</v>
      </c>
      <c r="AJ125">
        <v>849.2</v>
      </c>
      <c r="AK125">
        <v>1273.8</v>
      </c>
      <c r="AL125">
        <v>1698.4</v>
      </c>
      <c r="AM125">
        <f>Table1[[#This Row],[gross_cost]]-Table1[[#This Row],[CCR_single_base]]</f>
        <v>151.99993007049204</v>
      </c>
      <c r="AN125">
        <f>Table1[[#This Row],[gross_cost]]-Table1[[#This Row],[CCR_couple_base]]</f>
        <v>-234.00006992950796</v>
      </c>
      <c r="AO125">
        <f>Table1[[#This Row],[gross_cost]]-Table1[[#This Row],[CCR_family4_rural]]</f>
        <v>-774.40006992950805</v>
      </c>
      <c r="AP125">
        <v>74.799930070492493</v>
      </c>
      <c r="AQ125">
        <v>-349.800069929507</v>
      </c>
      <c r="AR125">
        <v>-774.40006992950703</v>
      </c>
      <c r="AS125">
        <f>Table1[[#This Row],[direct_tax]]/Table1[[#This Row],[total_exp]]</f>
        <v>6.8461618537699201E-3</v>
      </c>
      <c r="AT125">
        <f>Table1[[#This Row],[gross_cost]]/Table1[[#This Row],[total_exp]]</f>
        <v>8.7357706204902255E-3</v>
      </c>
      <c r="AU125">
        <v>1.4370526232887E-3</v>
      </c>
      <c r="AV125">
        <v>-2.2123063753120599E-3</v>
      </c>
      <c r="AW125">
        <v>-5.8616653739128203E-3</v>
      </c>
      <c r="AX125">
        <v>7.0718082356854904E-4</v>
      </c>
      <c r="AY125">
        <v>-3.3071140748922902E-3</v>
      </c>
      <c r="AZ125">
        <v>-7.3214089733531296E-3</v>
      </c>
    </row>
    <row r="126" spans="1:52" x14ac:dyDescent="0.2">
      <c r="A126" t="s">
        <v>63</v>
      </c>
      <c r="B126">
        <v>2024</v>
      </c>
      <c r="C126">
        <v>80</v>
      </c>
      <c r="D126" t="s">
        <v>58</v>
      </c>
      <c r="E126">
        <v>267815</v>
      </c>
      <c r="F126">
        <v>2919</v>
      </c>
      <c r="G126">
        <v>1435</v>
      </c>
      <c r="H126">
        <v>60</v>
      </c>
      <c r="I126">
        <v>105772</v>
      </c>
      <c r="J126">
        <v>1.4460833333333301</v>
      </c>
      <c r="K126">
        <v>1.47389351851851</v>
      </c>
      <c r="L126">
        <v>2018.5558693021301</v>
      </c>
      <c r="M126">
        <v>40.708503868250197</v>
      </c>
      <c r="N126">
        <v>8.5847902099999998E-2</v>
      </c>
      <c r="O126">
        <v>123.1917395135</v>
      </c>
      <c r="P126">
        <v>3308.0677811560099</v>
      </c>
      <c r="Q126">
        <v>0.17610000000000001</v>
      </c>
      <c r="R126">
        <v>0.21390000000000001</v>
      </c>
      <c r="S126">
        <v>0.1525</v>
      </c>
      <c r="T126">
        <v>4.0950825000000002</v>
      </c>
      <c r="U126">
        <v>355.46768858410599</v>
      </c>
      <c r="V126">
        <v>8.7075489774187105</v>
      </c>
      <c r="W126">
        <v>504.480336626292</v>
      </c>
      <c r="X126">
        <v>868.65557418781702</v>
      </c>
      <c r="Y126">
        <v>946.49984913256606</v>
      </c>
      <c r="Z126">
        <v>1056</v>
      </c>
      <c r="AA126">
        <v>0.11568955976885401</v>
      </c>
      <c r="AB126">
        <v>0.100664034042262</v>
      </c>
      <c r="AC126" t="s">
        <v>55</v>
      </c>
      <c r="AD126">
        <v>0.11568955976885401</v>
      </c>
      <c r="AE126">
        <v>100.494380968549</v>
      </c>
      <c r="AF126">
        <v>969.14995515636701</v>
      </c>
      <c r="AG126">
        <v>900</v>
      </c>
      <c r="AH126">
        <v>1350</v>
      </c>
      <c r="AI126">
        <v>1800</v>
      </c>
      <c r="AJ126">
        <v>1080</v>
      </c>
      <c r="AK126">
        <v>1620</v>
      </c>
      <c r="AL126">
        <v>2160</v>
      </c>
      <c r="AM126">
        <f>Table1[[#This Row],[gross_cost]]-Table1[[#This Row],[CCR_single_base]]</f>
        <v>69.149955156367014</v>
      </c>
      <c r="AN126">
        <f>Table1[[#This Row],[gross_cost]]-Table1[[#This Row],[CCR_couple_base]]</f>
        <v>-380.85004484363299</v>
      </c>
      <c r="AO126">
        <f>Table1[[#This Row],[gross_cost]]-Table1[[#This Row],[CCR_family4_rural]]</f>
        <v>-1190.850044843633</v>
      </c>
      <c r="AP126">
        <v>-110.85004484363201</v>
      </c>
      <c r="AQ126">
        <v>-650.85004484363196</v>
      </c>
      <c r="AR126">
        <v>-1190.85004484363</v>
      </c>
      <c r="AS126">
        <f>Table1[[#This Row],[direct_tax]]/Table1[[#This Row],[total_exp]]</f>
        <v>8.2125285915726001E-3</v>
      </c>
      <c r="AT126">
        <f>Table1[[#This Row],[gross_cost]]/Table1[[#This Row],[total_exp]]</f>
        <v>9.162632408920764E-3</v>
      </c>
      <c r="AU126">
        <v>6.5376427746821001E-4</v>
      </c>
      <c r="AV126">
        <v>-3.6006697882580599E-3</v>
      </c>
      <c r="AW126">
        <v>-7.8551038539843403E-3</v>
      </c>
      <c r="AX126">
        <v>-1.0480093488223E-3</v>
      </c>
      <c r="AY126">
        <v>-6.1533302276938302E-3</v>
      </c>
      <c r="AZ126">
        <v>-1.12586511065653E-2</v>
      </c>
    </row>
    <row r="127" spans="1:52" x14ac:dyDescent="0.2">
      <c r="A127" t="s">
        <v>63</v>
      </c>
      <c r="B127">
        <v>2025</v>
      </c>
      <c r="C127">
        <v>0</v>
      </c>
      <c r="D127" t="s">
        <v>58</v>
      </c>
      <c r="E127">
        <v>267815</v>
      </c>
      <c r="F127">
        <v>2919</v>
      </c>
      <c r="G127">
        <v>1435</v>
      </c>
      <c r="H127">
        <v>60</v>
      </c>
      <c r="I127">
        <v>105772</v>
      </c>
      <c r="J127">
        <v>1.3190833333333301</v>
      </c>
      <c r="K127">
        <v>1.3772731481481399</v>
      </c>
      <c r="L127">
        <v>2212.9003727335898</v>
      </c>
      <c r="M127">
        <v>43.5643431229852</v>
      </c>
      <c r="N127">
        <v>8.5847902099999998E-2</v>
      </c>
      <c r="O127">
        <v>123.1917395135</v>
      </c>
      <c r="P127">
        <v>3308.0677811560099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AB127">
        <v>0</v>
      </c>
      <c r="AC127" t="s">
        <v>56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f>Table1[[#This Row],[gross_cost]]-Table1[[#This Row],[CCR_single_base]]</f>
        <v>0</v>
      </c>
      <c r="AN127">
        <f>Table1[[#This Row],[gross_cost]]-Table1[[#This Row],[CCR_couple_base]]</f>
        <v>0</v>
      </c>
      <c r="AO127">
        <f>Table1[[#This Row],[gross_cost]]-Table1[[#This Row],[CCR_family4_rural]]</f>
        <v>0</v>
      </c>
      <c r="AP127">
        <v>0</v>
      </c>
      <c r="AQ127">
        <v>0</v>
      </c>
      <c r="AR127">
        <v>0</v>
      </c>
      <c r="AS127">
        <f>Table1[[#This Row],[direct_tax]]/Table1[[#This Row],[total_exp]]</f>
        <v>0</v>
      </c>
      <c r="AT127">
        <f>Table1[[#This Row],[gross_cost]]/Table1[[#This Row],[total_exp]]</f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">
      <c r="A128" t="s">
        <v>63</v>
      </c>
      <c r="B128">
        <v>2019</v>
      </c>
      <c r="C128">
        <v>20</v>
      </c>
      <c r="D128" t="s">
        <v>59</v>
      </c>
      <c r="E128">
        <v>351339</v>
      </c>
      <c r="F128">
        <v>3804</v>
      </c>
      <c r="G128">
        <v>1167</v>
      </c>
      <c r="H128">
        <v>46</v>
      </c>
      <c r="I128">
        <v>125637</v>
      </c>
      <c r="J128">
        <v>1.0416666666666601</v>
      </c>
      <c r="K128">
        <v>1.1994166666666599</v>
      </c>
      <c r="L128">
        <v>3651.8399999999901</v>
      </c>
      <c r="M128">
        <v>38.351976655318502</v>
      </c>
      <c r="N128">
        <v>8.5847902099999998E-2</v>
      </c>
      <c r="O128">
        <v>100.18450175069999</v>
      </c>
      <c r="P128">
        <v>2690.2544255115399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AB128">
        <v>0.80204768371599999</v>
      </c>
      <c r="AC128" t="s">
        <v>54</v>
      </c>
      <c r="AD128">
        <v>0.80204768371599999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f>Table1[[#This Row],[gross_cost]]-Table1[[#This Row],[CCR_single_base]]</f>
        <v>0</v>
      </c>
      <c r="AN128">
        <f>Table1[[#This Row],[gross_cost]]-Table1[[#This Row],[CCR_couple_base]]</f>
        <v>0</v>
      </c>
      <c r="AO128">
        <f>Table1[[#This Row],[gross_cost]]-Table1[[#This Row],[CCR_family4_rural]]</f>
        <v>0</v>
      </c>
      <c r="AP128">
        <v>0</v>
      </c>
      <c r="AQ128">
        <v>0</v>
      </c>
      <c r="AR128">
        <v>0</v>
      </c>
      <c r="AS128">
        <f>Table1[[#This Row],[direct_tax]]/Table1[[#This Row],[total_exp]]</f>
        <v>0</v>
      </c>
      <c r="AT128">
        <f>Table1[[#This Row],[gross_cost]]/Table1[[#This Row],[total_exp]]</f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2">
      <c r="A129" t="s">
        <v>63</v>
      </c>
      <c r="B129">
        <v>2020</v>
      </c>
      <c r="C129">
        <v>30</v>
      </c>
      <c r="D129" t="s">
        <v>59</v>
      </c>
      <c r="E129">
        <v>362951</v>
      </c>
      <c r="F129">
        <v>3145</v>
      </c>
      <c r="G129">
        <v>1249.5</v>
      </c>
      <c r="H129">
        <v>62.5</v>
      </c>
      <c r="I129">
        <v>124584</v>
      </c>
      <c r="J129">
        <v>0.92125000000000001</v>
      </c>
      <c r="K129">
        <v>1.01843055555555</v>
      </c>
      <c r="L129">
        <v>3413.8398914518302</v>
      </c>
      <c r="M129">
        <v>61.3689364081443</v>
      </c>
      <c r="N129">
        <v>8.5847902099999998E-2</v>
      </c>
      <c r="O129">
        <v>107.26695367395</v>
      </c>
      <c r="P129">
        <v>2880.4395070065698</v>
      </c>
      <c r="Q129">
        <v>6.6299999999999998E-2</v>
      </c>
      <c r="R129">
        <v>8.0500000000000002E-2</v>
      </c>
      <c r="S129">
        <v>5.8700000000000002E-2</v>
      </c>
      <c r="T129">
        <v>1.5762711</v>
      </c>
      <c r="U129">
        <v>226.33758480325599</v>
      </c>
      <c r="V129">
        <v>4.9401993808556099</v>
      </c>
      <c r="W129">
        <v>169.08179906128601</v>
      </c>
      <c r="X129">
        <v>400.35958324539803</v>
      </c>
      <c r="Y129">
        <v>324.339095887339</v>
      </c>
      <c r="AB129">
        <v>0.68515040877037703</v>
      </c>
      <c r="AC129" t="s">
        <v>54</v>
      </c>
      <c r="AD129">
        <v>0.68515040877037703</v>
      </c>
      <c r="AE129">
        <v>274.30653211572201</v>
      </c>
      <c r="AF129">
        <v>674.666115361121</v>
      </c>
      <c r="AG129">
        <v>444</v>
      </c>
      <c r="AH129">
        <v>666</v>
      </c>
      <c r="AI129">
        <v>888</v>
      </c>
      <c r="AJ129">
        <v>488.4</v>
      </c>
      <c r="AK129">
        <v>732.6</v>
      </c>
      <c r="AL129">
        <v>976.8</v>
      </c>
      <c r="AM129">
        <f>Table1[[#This Row],[gross_cost]]-Table1[[#This Row],[CCR_single_base]]</f>
        <v>230.666115361121</v>
      </c>
      <c r="AN129">
        <f>Table1[[#This Row],[gross_cost]]-Table1[[#This Row],[CCR_couple_base]]</f>
        <v>8.6661153611210011</v>
      </c>
      <c r="AO129">
        <f>Table1[[#This Row],[gross_cost]]-Table1[[#This Row],[CCR_family4_rural]]</f>
        <v>-302.13388463887895</v>
      </c>
      <c r="AP129">
        <v>186.26611536112</v>
      </c>
      <c r="AQ129">
        <v>-57.933884638879</v>
      </c>
      <c r="AR129">
        <v>-302.13388463887901</v>
      </c>
      <c r="AS129">
        <f>Table1[[#This Row],[direct_tax]]/Table1[[#This Row],[total_exp]]</f>
        <v>3.2135714316878414E-3</v>
      </c>
      <c r="AT129">
        <f>Table1[[#This Row],[gross_cost]]/Table1[[#This Row],[total_exp]]</f>
        <v>5.4153512117215774E-3</v>
      </c>
      <c r="AU129">
        <v>1.8514906838849299E-3</v>
      </c>
      <c r="AV129" s="1">
        <v>6.9560419966616894E-5</v>
      </c>
      <c r="AW129">
        <v>-1.7123698439517E-3</v>
      </c>
      <c r="AX129">
        <v>1.4951046311012699E-3</v>
      </c>
      <c r="AY129">
        <v>-4.6501865920887898E-4</v>
      </c>
      <c r="AZ129">
        <v>-2.4251419495190298E-3</v>
      </c>
    </row>
    <row r="130" spans="1:52" x14ac:dyDescent="0.2">
      <c r="A130" t="s">
        <v>63</v>
      </c>
      <c r="B130">
        <v>2021</v>
      </c>
      <c r="C130">
        <v>40</v>
      </c>
      <c r="D130" t="s">
        <v>59</v>
      </c>
      <c r="E130">
        <v>374880</v>
      </c>
      <c r="F130">
        <v>2486</v>
      </c>
      <c r="G130">
        <v>1332</v>
      </c>
      <c r="H130">
        <v>79</v>
      </c>
      <c r="I130">
        <v>123531</v>
      </c>
      <c r="J130">
        <v>1.2632083333333299</v>
      </c>
      <c r="K130">
        <v>1.24137037037037</v>
      </c>
      <c r="L130">
        <v>1968.0047498103299</v>
      </c>
      <c r="M130">
        <v>63.639347196944797</v>
      </c>
      <c r="N130">
        <v>8.5847902099999998E-2</v>
      </c>
      <c r="O130">
        <v>114.3494055972</v>
      </c>
      <c r="P130">
        <v>3070.6245885016101</v>
      </c>
      <c r="Q130">
        <v>8.8400000000000006E-2</v>
      </c>
      <c r="R130">
        <v>0.10730000000000001</v>
      </c>
      <c r="S130">
        <v>7.8299999999999995E-2</v>
      </c>
      <c r="T130">
        <v>2.1025898999999999</v>
      </c>
      <c r="U130">
        <v>173.97161988323299</v>
      </c>
      <c r="V130">
        <v>6.8285019542321796</v>
      </c>
      <c r="W130">
        <v>240.42990527967601</v>
      </c>
      <c r="X130">
        <v>421.23002711714201</v>
      </c>
      <c r="Y130">
        <v>370.661989251818</v>
      </c>
      <c r="Z130">
        <v>598</v>
      </c>
      <c r="AA130">
        <v>0.61332971100453004</v>
      </c>
      <c r="AB130">
        <v>0.56825313382475395</v>
      </c>
      <c r="AC130" t="s">
        <v>55</v>
      </c>
      <c r="AD130">
        <v>0.61332971100453004</v>
      </c>
      <c r="AE130">
        <v>258.35289079818699</v>
      </c>
      <c r="AF130">
        <v>679.58291791532895</v>
      </c>
      <c r="AG130">
        <v>490</v>
      </c>
      <c r="AH130">
        <v>735</v>
      </c>
      <c r="AI130">
        <v>981</v>
      </c>
      <c r="AJ130">
        <v>539</v>
      </c>
      <c r="AK130">
        <v>808.5</v>
      </c>
      <c r="AL130">
        <v>1079.0999999999999</v>
      </c>
      <c r="AM130">
        <f>Table1[[#This Row],[gross_cost]]-Table1[[#This Row],[CCR_single_base]]</f>
        <v>189.58291791532895</v>
      </c>
      <c r="AN130">
        <f>Table1[[#This Row],[gross_cost]]-Table1[[#This Row],[CCR_couple_base]]</f>
        <v>-55.417082084671051</v>
      </c>
      <c r="AO130">
        <f>Table1[[#This Row],[gross_cost]]-Table1[[#This Row],[CCR_family4_rural]]</f>
        <v>-399.51708208467096</v>
      </c>
      <c r="AP130">
        <v>140.58291791532901</v>
      </c>
      <c r="AQ130">
        <v>-128.91708208467</v>
      </c>
      <c r="AR130">
        <v>-399.51708208466999</v>
      </c>
      <c r="AS130">
        <f>Table1[[#This Row],[direct_tax]]/Table1[[#This Row],[total_exp]]</f>
        <v>3.4099135206315987E-3</v>
      </c>
      <c r="AT130">
        <f>Table1[[#This Row],[gross_cost]]/Table1[[#This Row],[total_exp]]</f>
        <v>5.5013147947910153E-3</v>
      </c>
      <c r="AU130">
        <v>1.5346991274686401E-3</v>
      </c>
      <c r="AV130">
        <v>-4.4860870619253698E-4</v>
      </c>
      <c r="AW130">
        <v>-2.4400116738686598E-3</v>
      </c>
      <c r="AX130">
        <v>1.1380375607364099E-3</v>
      </c>
      <c r="AY130">
        <v>-1.04360105629089E-3</v>
      </c>
      <c r="AZ130">
        <v>-3.2341443207346298E-3</v>
      </c>
    </row>
    <row r="131" spans="1:52" x14ac:dyDescent="0.2">
      <c r="A131" t="s">
        <v>63</v>
      </c>
      <c r="B131">
        <v>2022</v>
      </c>
      <c r="C131">
        <v>50</v>
      </c>
      <c r="D131" t="s">
        <v>59</v>
      </c>
      <c r="E131">
        <v>361048</v>
      </c>
      <c r="F131">
        <v>3069</v>
      </c>
      <c r="G131">
        <v>1340.5</v>
      </c>
      <c r="H131">
        <v>73</v>
      </c>
      <c r="I131">
        <v>126419</v>
      </c>
      <c r="J131">
        <v>1.5502499999999999</v>
      </c>
      <c r="K131">
        <v>1.90406481481481</v>
      </c>
      <c r="L131">
        <v>1979.6806966618201</v>
      </c>
      <c r="M131">
        <v>38.339031020380297</v>
      </c>
      <c r="N131">
        <v>8.5847902099999998E-2</v>
      </c>
      <c r="O131">
        <v>115.07911276505</v>
      </c>
      <c r="P131">
        <v>3090.21941507988</v>
      </c>
      <c r="Q131">
        <v>0.1105</v>
      </c>
      <c r="R131">
        <v>0.1341</v>
      </c>
      <c r="S131">
        <v>9.7900000000000001E-2</v>
      </c>
      <c r="T131">
        <v>2.6289087000000002</v>
      </c>
      <c r="U131">
        <v>218.75471698113199</v>
      </c>
      <c r="V131">
        <v>5.1412640598330004</v>
      </c>
      <c r="W131">
        <v>302.53248073632102</v>
      </c>
      <c r="X131">
        <v>526.42846177728597</v>
      </c>
      <c r="Y131">
        <v>503.14329574662003</v>
      </c>
      <c r="Z131">
        <v>700</v>
      </c>
      <c r="AA131">
        <v>0.39125375597276302</v>
      </c>
      <c r="AB131">
        <v>0.45135585887913099</v>
      </c>
      <c r="AC131" t="s">
        <v>55</v>
      </c>
      <c r="AD131">
        <v>0.39125375597276302</v>
      </c>
      <c r="AE131">
        <v>205.96711292132699</v>
      </c>
      <c r="AF131">
        <v>732.39557469861302</v>
      </c>
      <c r="AG131">
        <v>539</v>
      </c>
      <c r="AH131">
        <v>809</v>
      </c>
      <c r="AI131">
        <v>1079</v>
      </c>
      <c r="AJ131">
        <v>592.9</v>
      </c>
      <c r="AK131">
        <v>889.9</v>
      </c>
      <c r="AL131">
        <v>1186.9000000000001</v>
      </c>
      <c r="AM131">
        <f>Table1[[#This Row],[gross_cost]]-Table1[[#This Row],[CCR_single_base]]</f>
        <v>193.39557469861302</v>
      </c>
      <c r="AN131">
        <f>Table1[[#This Row],[gross_cost]]-Table1[[#This Row],[CCR_couple_base]]</f>
        <v>-76.604425301386982</v>
      </c>
      <c r="AO131">
        <f>Table1[[#This Row],[gross_cost]]-Table1[[#This Row],[CCR_family4_rural]]</f>
        <v>-454.50442530138707</v>
      </c>
      <c r="AP131">
        <v>139.49557469861301</v>
      </c>
      <c r="AQ131">
        <v>-157.50442530138599</v>
      </c>
      <c r="AR131">
        <v>-454.50442530138599</v>
      </c>
      <c r="AS131">
        <f>Table1[[#This Row],[direct_tax]]/Table1[[#This Row],[total_exp]]</f>
        <v>4.1641561931140573E-3</v>
      </c>
      <c r="AT131">
        <f>Table1[[#This Row],[gross_cost]]/Table1[[#This Row],[total_exp]]</f>
        <v>5.7933979441271728E-3</v>
      </c>
      <c r="AU131">
        <v>1.5297983269810199E-3</v>
      </c>
      <c r="AV131">
        <v>-6.0595658327772196E-4</v>
      </c>
      <c r="AW131">
        <v>-2.7417114935364599E-3</v>
      </c>
      <c r="AX131">
        <v>1.1034383652664E-3</v>
      </c>
      <c r="AY131">
        <v>-1.2458920360182101E-3</v>
      </c>
      <c r="AZ131">
        <v>-3.5952224373028301E-3</v>
      </c>
    </row>
    <row r="132" spans="1:52" x14ac:dyDescent="0.2">
      <c r="A132" t="s">
        <v>63</v>
      </c>
      <c r="B132">
        <v>2023</v>
      </c>
      <c r="C132">
        <v>65</v>
      </c>
      <c r="D132" t="s">
        <v>59</v>
      </c>
      <c r="E132">
        <v>403911</v>
      </c>
      <c r="F132">
        <v>3652</v>
      </c>
      <c r="G132">
        <v>1349</v>
      </c>
      <c r="H132">
        <v>67</v>
      </c>
      <c r="I132">
        <v>129307</v>
      </c>
      <c r="J132">
        <v>1.3554166666666601</v>
      </c>
      <c r="K132">
        <v>1.7136805555555501</v>
      </c>
      <c r="L132">
        <v>2694.3744236089701</v>
      </c>
      <c r="M132">
        <v>39.097134983993101</v>
      </c>
      <c r="N132">
        <v>8.5847902099999998E-2</v>
      </c>
      <c r="O132">
        <v>115.80881993289999</v>
      </c>
      <c r="P132">
        <v>3109.81424165816</v>
      </c>
      <c r="Q132">
        <v>0.1431</v>
      </c>
      <c r="R132">
        <v>0.17380000000000001</v>
      </c>
      <c r="S132">
        <v>0.1239</v>
      </c>
      <c r="T132">
        <v>3.3270867000000002</v>
      </c>
      <c r="U132">
        <v>385.56498001844398</v>
      </c>
      <c r="V132">
        <v>6.79508206021801</v>
      </c>
      <c r="W132">
        <v>385.30598454144598</v>
      </c>
      <c r="X132">
        <v>777.666046620109</v>
      </c>
      <c r="Y132">
        <v>797.61285121417302</v>
      </c>
      <c r="AB132">
        <v>0.27600994646069699</v>
      </c>
      <c r="AC132" t="s">
        <v>54</v>
      </c>
      <c r="AD132">
        <v>0.27600994646069699</v>
      </c>
      <c r="AE132">
        <v>214.64356389191801</v>
      </c>
      <c r="AF132">
        <v>992.30961051202701</v>
      </c>
      <c r="AG132">
        <v>772</v>
      </c>
      <c r="AH132">
        <v>1158</v>
      </c>
      <c r="AI132">
        <v>1544</v>
      </c>
      <c r="AJ132">
        <v>849.2</v>
      </c>
      <c r="AK132">
        <v>1273.8</v>
      </c>
      <c r="AL132">
        <v>1698.4</v>
      </c>
      <c r="AM132">
        <f>Table1[[#This Row],[gross_cost]]-Table1[[#This Row],[CCR_single_base]]</f>
        <v>220.30961051202701</v>
      </c>
      <c r="AN132">
        <f>Table1[[#This Row],[gross_cost]]-Table1[[#This Row],[CCR_couple_base]]</f>
        <v>-165.69038948797299</v>
      </c>
      <c r="AO132">
        <f>Table1[[#This Row],[gross_cost]]-Table1[[#This Row],[CCR_family4_rural]]</f>
        <v>-706.09038948797308</v>
      </c>
      <c r="AP132">
        <v>143.10961051202699</v>
      </c>
      <c r="AQ132">
        <v>-281.49038948797198</v>
      </c>
      <c r="AR132">
        <v>-706.09038948797195</v>
      </c>
      <c r="AS132">
        <f>Table1[[#This Row],[direct_tax]]/Table1[[#This Row],[total_exp]]</f>
        <v>6.01410632541246E-3</v>
      </c>
      <c r="AT132">
        <f>Table1[[#This Row],[gross_cost]]/Table1[[#This Row],[total_exp]]</f>
        <v>7.6740594902984915E-3</v>
      </c>
      <c r="AU132">
        <v>1.7037717255216399E-3</v>
      </c>
      <c r="AV132">
        <v>-1.28137215686678E-3</v>
      </c>
      <c r="AW132">
        <v>-4.2665160392552004E-3</v>
      </c>
      <c r="AX132">
        <v>1.1067429490439499E-3</v>
      </c>
      <c r="AY132">
        <v>-2.1769153215833001E-3</v>
      </c>
      <c r="AZ132">
        <v>-5.4605735922105703E-3</v>
      </c>
    </row>
    <row r="133" spans="1:52" x14ac:dyDescent="0.2">
      <c r="A133" t="s">
        <v>63</v>
      </c>
      <c r="B133">
        <v>2024</v>
      </c>
      <c r="C133">
        <v>80</v>
      </c>
      <c r="D133" t="s">
        <v>59</v>
      </c>
      <c r="E133">
        <v>430406</v>
      </c>
      <c r="F133">
        <v>3652</v>
      </c>
      <c r="G133">
        <v>1349</v>
      </c>
      <c r="H133">
        <v>67</v>
      </c>
      <c r="I133">
        <v>129307</v>
      </c>
      <c r="J133">
        <v>1.4460833333333301</v>
      </c>
      <c r="K133">
        <v>1.47389351851851</v>
      </c>
      <c r="L133">
        <v>2525.4422866363102</v>
      </c>
      <c r="M133">
        <v>45.457829319546001</v>
      </c>
      <c r="N133">
        <v>8.5847902099999998E-2</v>
      </c>
      <c r="O133">
        <v>115.80881993289999</v>
      </c>
      <c r="P133">
        <v>3109.81424165816</v>
      </c>
      <c r="Q133">
        <v>0.17610000000000001</v>
      </c>
      <c r="R133">
        <v>0.21390000000000001</v>
      </c>
      <c r="S133">
        <v>0.1525</v>
      </c>
      <c r="T133">
        <v>4.0950825000000002</v>
      </c>
      <c r="U133">
        <v>444.73038667665497</v>
      </c>
      <c r="V133">
        <v>9.7234296914508995</v>
      </c>
      <c r="W133">
        <v>474.24667185286899</v>
      </c>
      <c r="X133">
        <v>928.70048822097601</v>
      </c>
      <c r="Y133">
        <v>946.49984913256606</v>
      </c>
      <c r="Z133">
        <v>1056</v>
      </c>
      <c r="AA133">
        <v>0.11568955976885401</v>
      </c>
      <c r="AB133">
        <v>0.100664034042262</v>
      </c>
      <c r="AC133" t="s">
        <v>55</v>
      </c>
      <c r="AD133">
        <v>0.11568955976885401</v>
      </c>
      <c r="AE133">
        <v>107.44095063940399</v>
      </c>
      <c r="AF133">
        <v>1036.14143886038</v>
      </c>
      <c r="AG133">
        <v>900</v>
      </c>
      <c r="AH133">
        <v>1350</v>
      </c>
      <c r="AI133">
        <v>1800</v>
      </c>
      <c r="AJ133">
        <v>1080</v>
      </c>
      <c r="AK133">
        <v>1620</v>
      </c>
      <c r="AL133">
        <v>2160</v>
      </c>
      <c r="AM133">
        <f>Table1[[#This Row],[gross_cost]]-Table1[[#This Row],[CCR_single_base]]</f>
        <v>136.14143886038005</v>
      </c>
      <c r="AN133">
        <f>Table1[[#This Row],[gross_cost]]-Table1[[#This Row],[CCR_couple_base]]</f>
        <v>-313.85856113961995</v>
      </c>
      <c r="AO133">
        <f>Table1[[#This Row],[gross_cost]]-Table1[[#This Row],[CCR_family4_rural]]</f>
        <v>-1123.85856113962</v>
      </c>
      <c r="AP133">
        <v>-43.858561139618999</v>
      </c>
      <c r="AQ133">
        <v>-583.85856113961904</v>
      </c>
      <c r="AR133">
        <v>-1123.8585611396099</v>
      </c>
      <c r="AS133">
        <f>Table1[[#This Row],[direct_tax]]/Table1[[#This Row],[total_exp]]</f>
        <v>7.1821362201657758E-3</v>
      </c>
      <c r="AT133">
        <f>Table1[[#This Row],[gross_cost]]/Table1[[#This Row],[total_exp]]</f>
        <v>8.0130343976766924E-3</v>
      </c>
      <c r="AU133">
        <v>1.0528543610197501E-3</v>
      </c>
      <c r="AV133">
        <v>-2.4272356573087198E-3</v>
      </c>
      <c r="AW133">
        <v>-5.90732567563719E-3</v>
      </c>
      <c r="AX133">
        <v>-3.3918164631163797E-4</v>
      </c>
      <c r="AY133">
        <v>-4.5152896683058E-3</v>
      </c>
      <c r="AZ133">
        <v>-8.69139769029997E-3</v>
      </c>
    </row>
    <row r="134" spans="1:52" x14ac:dyDescent="0.2">
      <c r="A134" t="s">
        <v>63</v>
      </c>
      <c r="B134">
        <v>2025</v>
      </c>
      <c r="C134">
        <v>0</v>
      </c>
      <c r="D134" t="s">
        <v>59</v>
      </c>
      <c r="E134">
        <v>430406</v>
      </c>
      <c r="F134">
        <v>3652</v>
      </c>
      <c r="G134">
        <v>1349</v>
      </c>
      <c r="H134">
        <v>67</v>
      </c>
      <c r="I134">
        <v>129307</v>
      </c>
      <c r="J134">
        <v>1.3190833333333301</v>
      </c>
      <c r="K134">
        <v>1.3772731481481399</v>
      </c>
      <c r="L134">
        <v>2768.5892981236898</v>
      </c>
      <c r="M134">
        <v>48.646849820666802</v>
      </c>
      <c r="N134">
        <v>8.5847902099999998E-2</v>
      </c>
      <c r="O134">
        <v>115.80881993289999</v>
      </c>
      <c r="P134">
        <v>3109.81424165816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B134">
        <v>0</v>
      </c>
      <c r="AC134" t="s">
        <v>56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f>Table1[[#This Row],[gross_cost]]-Table1[[#This Row],[CCR_single_base]]</f>
        <v>0</v>
      </c>
      <c r="AN134">
        <f>Table1[[#This Row],[gross_cost]]-Table1[[#This Row],[CCR_couple_base]]</f>
        <v>0</v>
      </c>
      <c r="AO134">
        <f>Table1[[#This Row],[gross_cost]]-Table1[[#This Row],[CCR_family4_rural]]</f>
        <v>0</v>
      </c>
      <c r="AP134">
        <v>0</v>
      </c>
      <c r="AQ134">
        <v>0</v>
      </c>
      <c r="AR134">
        <v>0</v>
      </c>
      <c r="AS134">
        <f>Table1[[#This Row],[direct_tax]]/Table1[[#This Row],[total_exp]]</f>
        <v>0</v>
      </c>
      <c r="AT134">
        <f>Table1[[#This Row],[gross_cost]]/Table1[[#This Row],[total_exp]]</f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">
      <c r="A135" t="s">
        <v>63</v>
      </c>
      <c r="B135">
        <v>2019</v>
      </c>
      <c r="C135">
        <v>20</v>
      </c>
      <c r="D135" t="s">
        <v>60</v>
      </c>
      <c r="E135">
        <v>566337</v>
      </c>
      <c r="F135">
        <v>2608</v>
      </c>
      <c r="G135">
        <v>1447</v>
      </c>
      <c r="H135">
        <v>38</v>
      </c>
      <c r="I135">
        <v>221396</v>
      </c>
      <c r="J135">
        <v>1.0416666666666601</v>
      </c>
      <c r="K135">
        <v>1.1994166666666599</v>
      </c>
      <c r="L135">
        <v>2503.6799999999998</v>
      </c>
      <c r="M135">
        <v>31.6820676717848</v>
      </c>
      <c r="N135">
        <v>8.5847902099999998E-2</v>
      </c>
      <c r="O135">
        <v>124.2219143387</v>
      </c>
      <c r="P135">
        <v>3335.7310657371099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B135">
        <v>0.80204768371599999</v>
      </c>
      <c r="AC135" t="s">
        <v>54</v>
      </c>
      <c r="AD135">
        <v>0.80204768371599999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f>Table1[[#This Row],[gross_cost]]-Table1[[#This Row],[CCR_single_base]]</f>
        <v>0</v>
      </c>
      <c r="AN135">
        <f>Table1[[#This Row],[gross_cost]]-Table1[[#This Row],[CCR_couple_base]]</f>
        <v>0</v>
      </c>
      <c r="AO135">
        <f>Table1[[#This Row],[gross_cost]]-Table1[[#This Row],[CCR_family4_rural]]</f>
        <v>0</v>
      </c>
      <c r="AP135">
        <v>0</v>
      </c>
      <c r="AQ135">
        <v>0</v>
      </c>
      <c r="AR135">
        <v>0</v>
      </c>
      <c r="AS135">
        <f>Table1[[#This Row],[direct_tax]]/Table1[[#This Row],[total_exp]]</f>
        <v>0</v>
      </c>
      <c r="AT135">
        <f>Table1[[#This Row],[gross_cost]]/Table1[[#This Row],[total_exp]]</f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">
      <c r="A136" t="s">
        <v>63</v>
      </c>
      <c r="B136">
        <v>2020</v>
      </c>
      <c r="C136">
        <v>30</v>
      </c>
      <c r="D136" t="s">
        <v>60</v>
      </c>
      <c r="E136">
        <v>564635</v>
      </c>
      <c r="F136">
        <v>2682.5</v>
      </c>
      <c r="G136">
        <v>1466.5</v>
      </c>
      <c r="H136">
        <v>69.5</v>
      </c>
      <c r="I136">
        <v>207955.5</v>
      </c>
      <c r="J136">
        <v>0.92125000000000001</v>
      </c>
      <c r="K136">
        <v>1.01843055555555</v>
      </c>
      <c r="L136">
        <v>2911.8046132971499</v>
      </c>
      <c r="M136">
        <v>68.242257285856496</v>
      </c>
      <c r="N136">
        <v>8.5847902099999998E-2</v>
      </c>
      <c r="O136">
        <v>125.895948429649</v>
      </c>
      <c r="P136">
        <v>3380.6839031813902</v>
      </c>
      <c r="Q136">
        <v>6.6299999999999998E-2</v>
      </c>
      <c r="R136">
        <v>8.0500000000000002E-2</v>
      </c>
      <c r="S136">
        <v>5.8700000000000002E-2</v>
      </c>
      <c r="T136">
        <v>1.5762711</v>
      </c>
      <c r="U136">
        <v>193.05264586160101</v>
      </c>
      <c r="V136">
        <v>5.4935017115114402</v>
      </c>
      <c r="W136">
        <v>198.446145116747</v>
      </c>
      <c r="X136">
        <v>396.99229268985999</v>
      </c>
      <c r="Y136">
        <v>324.339095887339</v>
      </c>
      <c r="AB136">
        <v>0.68515040877037703</v>
      </c>
      <c r="AC136" t="s">
        <v>54</v>
      </c>
      <c r="AD136">
        <v>0.68515040877037703</v>
      </c>
      <c r="AE136">
        <v>271.99943161514699</v>
      </c>
      <c r="AF136">
        <v>668.99172430500698</v>
      </c>
      <c r="AG136">
        <v>444</v>
      </c>
      <c r="AH136">
        <v>666</v>
      </c>
      <c r="AI136">
        <v>888</v>
      </c>
      <c r="AJ136">
        <v>488.4</v>
      </c>
      <c r="AK136">
        <v>732.6</v>
      </c>
      <c r="AL136">
        <v>976.8</v>
      </c>
      <c r="AM136">
        <f>Table1[[#This Row],[gross_cost]]-Table1[[#This Row],[CCR_single_base]]</f>
        <v>224.99172430500698</v>
      </c>
      <c r="AN136">
        <f>Table1[[#This Row],[gross_cost]]-Table1[[#This Row],[CCR_couple_base]]</f>
        <v>2.9917243050069828</v>
      </c>
      <c r="AO136">
        <f>Table1[[#This Row],[gross_cost]]-Table1[[#This Row],[CCR_family4_rural]]</f>
        <v>-307.80827569499297</v>
      </c>
      <c r="AP136">
        <v>180.59172430500701</v>
      </c>
      <c r="AQ136">
        <v>-63.608275694992699</v>
      </c>
      <c r="AR136">
        <v>-307.80827569499201</v>
      </c>
      <c r="AS136">
        <f>Table1[[#This Row],[direct_tax]]/Table1[[#This Row],[total_exp]]</f>
        <v>1.9090252130376931E-3</v>
      </c>
      <c r="AT136">
        <f>Table1[[#This Row],[gross_cost]]/Table1[[#This Row],[total_exp]]</f>
        <v>3.216994618103426E-3</v>
      </c>
      <c r="AU136">
        <v>1.08192245122157E-3</v>
      </c>
      <c r="AV136" s="1">
        <v>1.43863677806421E-5</v>
      </c>
      <c r="AW136">
        <v>-1.0531497156602799E-3</v>
      </c>
      <c r="AX136">
        <v>8.6841523453338402E-4</v>
      </c>
      <c r="AY136">
        <v>-3.05874457251636E-4</v>
      </c>
      <c r="AZ136">
        <v>-1.48016414903665E-3</v>
      </c>
    </row>
    <row r="137" spans="1:52" x14ac:dyDescent="0.2">
      <c r="A137" t="s">
        <v>63</v>
      </c>
      <c r="B137">
        <v>2021</v>
      </c>
      <c r="C137">
        <v>40</v>
      </c>
      <c r="D137" t="s">
        <v>60</v>
      </c>
      <c r="E137">
        <v>587757</v>
      </c>
      <c r="F137">
        <v>2757</v>
      </c>
      <c r="G137">
        <v>1486</v>
      </c>
      <c r="H137">
        <v>101</v>
      </c>
      <c r="I137">
        <v>194515</v>
      </c>
      <c r="J137">
        <v>1.2632083333333299</v>
      </c>
      <c r="K137">
        <v>1.24137037037037</v>
      </c>
      <c r="L137">
        <v>2182.5378500511201</v>
      </c>
      <c r="M137">
        <v>81.361697049258495</v>
      </c>
      <c r="N137">
        <v>8.5847902099999998E-2</v>
      </c>
      <c r="O137">
        <v>127.569982520599</v>
      </c>
      <c r="P137">
        <v>3425.63674062567</v>
      </c>
      <c r="Q137">
        <v>8.8400000000000006E-2</v>
      </c>
      <c r="R137">
        <v>0.10730000000000001</v>
      </c>
      <c r="S137">
        <v>7.8299999999999995E-2</v>
      </c>
      <c r="T137">
        <v>2.1025898999999999</v>
      </c>
      <c r="U137">
        <v>192.93634594451899</v>
      </c>
      <c r="V137">
        <v>8.7301100933854396</v>
      </c>
      <c r="W137">
        <v>268.22735679098997</v>
      </c>
      <c r="X137">
        <v>469.89381282889502</v>
      </c>
      <c r="Y137">
        <v>370.661989251818</v>
      </c>
      <c r="Z137">
        <v>598</v>
      </c>
      <c r="AA137">
        <v>0.61332971100453004</v>
      </c>
      <c r="AB137">
        <v>0.56825313382475395</v>
      </c>
      <c r="AC137" t="s">
        <v>55</v>
      </c>
      <c r="AD137">
        <v>0.61332971100453004</v>
      </c>
      <c r="AE137">
        <v>288.19983642516303</v>
      </c>
      <c r="AF137">
        <v>758.09364925405805</v>
      </c>
      <c r="AG137">
        <v>490</v>
      </c>
      <c r="AH137">
        <v>735</v>
      </c>
      <c r="AI137">
        <v>981</v>
      </c>
      <c r="AJ137">
        <v>539</v>
      </c>
      <c r="AK137">
        <v>808.5</v>
      </c>
      <c r="AL137">
        <v>1079.0999999999999</v>
      </c>
      <c r="AM137">
        <f>Table1[[#This Row],[gross_cost]]-Table1[[#This Row],[CCR_single_base]]</f>
        <v>268.09364925405805</v>
      </c>
      <c r="AN137">
        <f>Table1[[#This Row],[gross_cost]]-Table1[[#This Row],[CCR_couple_base]]</f>
        <v>23.09364925405805</v>
      </c>
      <c r="AO137">
        <f>Table1[[#This Row],[gross_cost]]-Table1[[#This Row],[CCR_family4_rural]]</f>
        <v>-321.00635074594186</v>
      </c>
      <c r="AP137">
        <v>219.09364925405799</v>
      </c>
      <c r="AQ137">
        <v>-50.406350745941801</v>
      </c>
      <c r="AR137">
        <v>-321.00635074594101</v>
      </c>
      <c r="AS137">
        <f>Table1[[#This Row],[direct_tax]]/Table1[[#This Row],[total_exp]]</f>
        <v>2.4157201903652419E-3</v>
      </c>
      <c r="AT137">
        <f>Table1[[#This Row],[gross_cost]]/Table1[[#This Row],[total_exp]]</f>
        <v>3.8973531565897647E-3</v>
      </c>
      <c r="AU137">
        <v>1.3782672249135399E-3</v>
      </c>
      <c r="AV137">
        <v>1.18724259075435E-4</v>
      </c>
      <c r="AW137">
        <v>-1.14595969845997E-3</v>
      </c>
      <c r="AX137">
        <v>1.1263586317459199E-3</v>
      </c>
      <c r="AY137">
        <v>-2.5913863067599798E-4</v>
      </c>
      <c r="AZ137">
        <v>-1.6502909839649399E-3</v>
      </c>
    </row>
    <row r="138" spans="1:52" x14ac:dyDescent="0.2">
      <c r="A138" t="s">
        <v>63</v>
      </c>
      <c r="B138">
        <v>2022</v>
      </c>
      <c r="C138">
        <v>50</v>
      </c>
      <c r="D138" t="s">
        <v>60</v>
      </c>
      <c r="E138">
        <v>596608</v>
      </c>
      <c r="F138">
        <v>3607.5</v>
      </c>
      <c r="G138">
        <v>1705.5</v>
      </c>
      <c r="H138">
        <v>86.5</v>
      </c>
      <c r="I138">
        <v>217182</v>
      </c>
      <c r="J138">
        <v>1.5502499999999999</v>
      </c>
      <c r="K138">
        <v>1.90406481481481</v>
      </c>
      <c r="L138">
        <v>2327.04402515723</v>
      </c>
      <c r="M138">
        <v>45.429125798121902</v>
      </c>
      <c r="N138">
        <v>8.5847902099999998E-2</v>
      </c>
      <c r="O138">
        <v>146.41359703154899</v>
      </c>
      <c r="P138">
        <v>3931.6443210882098</v>
      </c>
      <c r="Q138">
        <v>0.1105</v>
      </c>
      <c r="R138">
        <v>0.1341</v>
      </c>
      <c r="S138">
        <v>9.7900000000000001E-2</v>
      </c>
      <c r="T138">
        <v>2.6289087000000002</v>
      </c>
      <c r="U138">
        <v>257.138364779874</v>
      </c>
      <c r="V138">
        <v>6.0920457695281502</v>
      </c>
      <c r="W138">
        <v>384.907979034535</v>
      </c>
      <c r="X138">
        <v>648.13838958393796</v>
      </c>
      <c r="Y138">
        <v>503.14329574662003</v>
      </c>
      <c r="Z138">
        <v>700</v>
      </c>
      <c r="AA138">
        <v>0.39125375597276302</v>
      </c>
      <c r="AB138">
        <v>0.45135585887913099</v>
      </c>
      <c r="AC138" t="s">
        <v>55</v>
      </c>
      <c r="AD138">
        <v>0.39125375597276302</v>
      </c>
      <c r="AE138">
        <v>253.58657931485399</v>
      </c>
      <c r="AF138">
        <v>901.72496889879199</v>
      </c>
      <c r="AG138">
        <v>539</v>
      </c>
      <c r="AH138">
        <v>809</v>
      </c>
      <c r="AI138">
        <v>1079</v>
      </c>
      <c r="AJ138">
        <v>592.9</v>
      </c>
      <c r="AK138">
        <v>889.9</v>
      </c>
      <c r="AL138">
        <v>1186.9000000000001</v>
      </c>
      <c r="AM138">
        <f>Table1[[#This Row],[gross_cost]]-Table1[[#This Row],[CCR_single_base]]</f>
        <v>362.72496889879199</v>
      </c>
      <c r="AN138">
        <f>Table1[[#This Row],[gross_cost]]-Table1[[#This Row],[CCR_couple_base]]</f>
        <v>92.724968898791985</v>
      </c>
      <c r="AO138">
        <f>Table1[[#This Row],[gross_cost]]-Table1[[#This Row],[CCR_family4_rural]]</f>
        <v>-285.17503110120811</v>
      </c>
      <c r="AP138">
        <v>308.82496889879201</v>
      </c>
      <c r="AQ138">
        <v>11.8249688987922</v>
      </c>
      <c r="AR138">
        <v>-285.17503110120703</v>
      </c>
      <c r="AS138">
        <f>Table1[[#This Row],[direct_tax]]/Table1[[#This Row],[total_exp]]</f>
        <v>2.9843098856440126E-3</v>
      </c>
      <c r="AT138">
        <f>Table1[[#This Row],[gross_cost]]/Table1[[#This Row],[total_exp]]</f>
        <v>4.1519323373888813E-3</v>
      </c>
      <c r="AU138">
        <v>1.6701428704901499E-3</v>
      </c>
      <c r="AV138">
        <v>4.2694592046666998E-4</v>
      </c>
      <c r="AW138">
        <v>-8.1625102955681201E-4</v>
      </c>
      <c r="AX138">
        <v>1.4219639238002701E-3</v>
      </c>
      <c r="AY138" s="1">
        <v>5.4447278774448298E-5</v>
      </c>
      <c r="AZ138">
        <v>-1.31306936625138E-3</v>
      </c>
    </row>
    <row r="139" spans="1:52" x14ac:dyDescent="0.2">
      <c r="A139" t="s">
        <v>63</v>
      </c>
      <c r="B139">
        <v>2023</v>
      </c>
      <c r="C139">
        <v>65</v>
      </c>
      <c r="D139" t="s">
        <v>60</v>
      </c>
      <c r="E139">
        <v>610125</v>
      </c>
      <c r="F139">
        <v>4458</v>
      </c>
      <c r="G139">
        <v>1925</v>
      </c>
      <c r="H139">
        <v>72</v>
      </c>
      <c r="I139">
        <v>239849</v>
      </c>
      <c r="J139">
        <v>1.3554166666666601</v>
      </c>
      <c r="K139">
        <v>1.7136805555555501</v>
      </c>
      <c r="L139">
        <v>3289.02551490931</v>
      </c>
      <c r="M139">
        <v>42.014831624589704</v>
      </c>
      <c r="N139">
        <v>8.5847902099999998E-2</v>
      </c>
      <c r="O139">
        <v>165.25721154249999</v>
      </c>
      <c r="P139">
        <v>4437.6519015507502</v>
      </c>
      <c r="Q139">
        <v>0.1431</v>
      </c>
      <c r="R139">
        <v>0.17380000000000001</v>
      </c>
      <c r="S139">
        <v>0.1239</v>
      </c>
      <c r="T139">
        <v>3.3270867000000002</v>
      </c>
      <c r="U139">
        <v>470.65955118352298</v>
      </c>
      <c r="V139">
        <v>7.3021777363536904</v>
      </c>
      <c r="W139">
        <v>549.825070602138</v>
      </c>
      <c r="X139">
        <v>1027.7867995220099</v>
      </c>
      <c r="Y139">
        <v>797.61285121417302</v>
      </c>
      <c r="AB139">
        <v>0.27600994646069699</v>
      </c>
      <c r="AC139" t="s">
        <v>54</v>
      </c>
      <c r="AD139">
        <v>0.27600994646069699</v>
      </c>
      <c r="AE139">
        <v>283.67937950908203</v>
      </c>
      <c r="AF139">
        <v>1311.46617903109</v>
      </c>
      <c r="AG139">
        <v>772</v>
      </c>
      <c r="AH139">
        <v>1158</v>
      </c>
      <c r="AI139">
        <v>1544</v>
      </c>
      <c r="AJ139">
        <v>849.2</v>
      </c>
      <c r="AK139">
        <v>1273.8</v>
      </c>
      <c r="AL139">
        <v>1698.4</v>
      </c>
      <c r="AM139">
        <f>Table1[[#This Row],[gross_cost]]-Table1[[#This Row],[CCR_single_base]]</f>
        <v>539.46617903108995</v>
      </c>
      <c r="AN139">
        <f>Table1[[#This Row],[gross_cost]]-Table1[[#This Row],[CCR_couple_base]]</f>
        <v>153.46617903108995</v>
      </c>
      <c r="AO139">
        <f>Table1[[#This Row],[gross_cost]]-Table1[[#This Row],[CCR_family4_rural]]</f>
        <v>-386.93382096891014</v>
      </c>
      <c r="AP139">
        <v>462.26617903109701</v>
      </c>
      <c r="AQ139">
        <v>37.666179031097201</v>
      </c>
      <c r="AR139">
        <v>-386.93382096890201</v>
      </c>
      <c r="AS139">
        <f>Table1[[#This Row],[direct_tax]]/Table1[[#This Row],[total_exp]]</f>
        <v>4.2851410659290219E-3</v>
      </c>
      <c r="AT139">
        <f>Table1[[#This Row],[gross_cost]]/Table1[[#This Row],[total_exp]]</f>
        <v>5.4678826221126204E-3</v>
      </c>
      <c r="AU139">
        <v>2.24919086188017E-3</v>
      </c>
      <c r="AV139">
        <v>6.3984498176393196E-4</v>
      </c>
      <c r="AW139">
        <v>-9.6950089835230702E-4</v>
      </c>
      <c r="AX139">
        <v>1.9273216858569199E-3</v>
      </c>
      <c r="AY139">
        <v>1.57041217729059E-4</v>
      </c>
      <c r="AZ139">
        <v>-1.6132392503988E-3</v>
      </c>
    </row>
    <row r="140" spans="1:52" x14ac:dyDescent="0.2">
      <c r="A140" t="s">
        <v>63</v>
      </c>
      <c r="B140">
        <v>2024</v>
      </c>
      <c r="C140">
        <v>80</v>
      </c>
      <c r="D140" t="s">
        <v>60</v>
      </c>
      <c r="E140">
        <v>628458</v>
      </c>
      <c r="F140">
        <v>4458</v>
      </c>
      <c r="G140">
        <v>1925</v>
      </c>
      <c r="H140">
        <v>72</v>
      </c>
      <c r="I140">
        <v>239849</v>
      </c>
      <c r="J140">
        <v>1.4460833333333301</v>
      </c>
      <c r="K140">
        <v>1.47389351851851</v>
      </c>
      <c r="L140">
        <v>3082.8098887800302</v>
      </c>
      <c r="M140">
        <v>48.850204641900199</v>
      </c>
      <c r="N140">
        <v>8.5847902099999998E-2</v>
      </c>
      <c r="O140">
        <v>165.25721154249999</v>
      </c>
      <c r="P140">
        <v>4437.6519015507502</v>
      </c>
      <c r="Q140">
        <v>0.17610000000000001</v>
      </c>
      <c r="R140">
        <v>0.21390000000000001</v>
      </c>
      <c r="S140">
        <v>0.1525</v>
      </c>
      <c r="T140">
        <v>4.0950825000000002</v>
      </c>
      <c r="U140">
        <v>542.88282141416403</v>
      </c>
      <c r="V140">
        <v>10.449058772902401</v>
      </c>
      <c r="W140">
        <v>676.74191498648895</v>
      </c>
      <c r="X140">
        <v>1230.07379517355</v>
      </c>
      <c r="Y140">
        <v>946.49984913256606</v>
      </c>
      <c r="Z140">
        <v>1056</v>
      </c>
      <c r="AA140">
        <v>0.11568955976885401</v>
      </c>
      <c r="AB140">
        <v>0.100664034042262</v>
      </c>
      <c r="AC140" t="s">
        <v>55</v>
      </c>
      <c r="AD140">
        <v>0.11568955976885401</v>
      </c>
      <c r="AE140">
        <v>142.30669584683201</v>
      </c>
      <c r="AF140">
        <v>1372.3804910203801</v>
      </c>
      <c r="AG140">
        <v>900</v>
      </c>
      <c r="AH140">
        <v>1350</v>
      </c>
      <c r="AI140">
        <v>1800</v>
      </c>
      <c r="AJ140">
        <v>1080</v>
      </c>
      <c r="AK140">
        <v>1620</v>
      </c>
      <c r="AL140">
        <v>2160</v>
      </c>
      <c r="AM140">
        <f>Table1[[#This Row],[gross_cost]]-Table1[[#This Row],[CCR_single_base]]</f>
        <v>472.38049102038008</v>
      </c>
      <c r="AN140">
        <f>Table1[[#This Row],[gross_cost]]-Table1[[#This Row],[CCR_couple_base]]</f>
        <v>22.380491020380077</v>
      </c>
      <c r="AO140">
        <f>Table1[[#This Row],[gross_cost]]-Table1[[#This Row],[CCR_family4_rural]]</f>
        <v>-787.61950897961992</v>
      </c>
      <c r="AP140">
        <v>292.380491020389</v>
      </c>
      <c r="AQ140">
        <v>-247.61950897961</v>
      </c>
      <c r="AR140">
        <v>-787.61950897961003</v>
      </c>
      <c r="AS140">
        <f>Table1[[#This Row],[direct_tax]]/Table1[[#This Row],[total_exp]]</f>
        <v>5.1285341826463734E-3</v>
      </c>
      <c r="AT140">
        <f>Table1[[#This Row],[gross_cost]]/Table1[[#This Row],[total_exp]]</f>
        <v>5.7218520444962456E-3</v>
      </c>
      <c r="AU140">
        <v>1.9694911841216301E-3</v>
      </c>
      <c r="AV140" s="1">
        <v>9.3310753934307996E-5</v>
      </c>
      <c r="AW140">
        <v>-1.78286967625301E-3</v>
      </c>
      <c r="AX140">
        <v>1.2190190120467E-3</v>
      </c>
      <c r="AY140">
        <v>-1.0323975041780799E-3</v>
      </c>
      <c r="AZ140">
        <v>-3.2838140204028698E-3</v>
      </c>
    </row>
    <row r="141" spans="1:52" x14ac:dyDescent="0.2">
      <c r="A141" t="s">
        <v>63</v>
      </c>
      <c r="B141">
        <v>2025</v>
      </c>
      <c r="C141">
        <v>0</v>
      </c>
      <c r="D141" t="s">
        <v>60</v>
      </c>
      <c r="E141">
        <v>628458</v>
      </c>
      <c r="F141">
        <v>4458</v>
      </c>
      <c r="G141">
        <v>1925</v>
      </c>
      <c r="H141">
        <v>72</v>
      </c>
      <c r="I141">
        <v>239849</v>
      </c>
      <c r="J141">
        <v>1.3190833333333301</v>
      </c>
      <c r="K141">
        <v>1.3772731481481399</v>
      </c>
      <c r="L141">
        <v>3379.6196853875699</v>
      </c>
      <c r="M141">
        <v>52.2772117475822</v>
      </c>
      <c r="N141">
        <v>8.5847902099999998E-2</v>
      </c>
      <c r="O141">
        <v>165.25721154249999</v>
      </c>
      <c r="P141">
        <v>4437.6519015507502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AB141">
        <v>0</v>
      </c>
      <c r="AC141" t="s">
        <v>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f>Table1[[#This Row],[gross_cost]]-Table1[[#This Row],[CCR_single_base]]</f>
        <v>0</v>
      </c>
      <c r="AN141">
        <f>Table1[[#This Row],[gross_cost]]-Table1[[#This Row],[CCR_couple_base]]</f>
        <v>0</v>
      </c>
      <c r="AO141">
        <f>Table1[[#This Row],[gross_cost]]-Table1[[#This Row],[CCR_family4_rural]]</f>
        <v>0</v>
      </c>
      <c r="AP141">
        <v>0</v>
      </c>
      <c r="AQ141">
        <v>0</v>
      </c>
      <c r="AR141">
        <v>0</v>
      </c>
      <c r="AS141">
        <f>Table1[[#This Row],[direct_tax]]/Table1[[#This Row],[total_exp]]</f>
        <v>0</v>
      </c>
      <c r="AT141">
        <f>Table1[[#This Row],[gross_cost]]/Table1[[#This Row],[total_exp]]</f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ggppa_progressivity_results_v4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2026-02-11T14:14:46Z</dcterms:created>
  <dcterms:modified xsi:type="dcterms:W3CDTF">2026-02-11T14:31:51Z</dcterms:modified>
</cp:coreProperties>
</file>