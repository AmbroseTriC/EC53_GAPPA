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uclac-my.sharepoint.com/personal/zctpj17_ucl_ac_uk/Documents/ECON0053 Economics of Tax Policy/Grp Project/Quantitative/Analysis/v2 Output Excel/"/>
    </mc:Choice>
  </mc:AlternateContent>
  <xr:revisionPtr revIDLastSave="27" documentId="8_{4D9E5235-46EF-E04C-BC4F-DDA788171787}" xr6:coauthVersionLast="47" xr6:coauthVersionMax="47" xr10:uidLastSave="{2F230856-5C5D-C44A-9617-B1CEE5624802}"/>
  <bookViews>
    <workbookView xWindow="0" yWindow="800" windowWidth="36000" windowHeight="21300" xr2:uid="{D94CDF2C-3F68-8647-A1EE-A1E37B8887B7}"/>
  </bookViews>
  <sheets>
    <sheet name="ggppa_progressivity_results_v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</calcChain>
</file>

<file path=xl/sharedStrings.xml><?xml version="1.0" encoding="utf-8"?>
<sst xmlns="http://schemas.openxmlformats.org/spreadsheetml/2006/main" count="320" uniqueCount="49">
  <si>
    <t>Province</t>
  </si>
  <si>
    <t>Year</t>
  </si>
  <si>
    <t>Quintile</t>
  </si>
  <si>
    <t>Households</t>
  </si>
  <si>
    <t>gas_exp</t>
  </si>
  <si>
    <t>ng_exp</t>
  </si>
  <si>
    <t>oil_exp</t>
  </si>
  <si>
    <t>total_exp</t>
  </si>
  <si>
    <t>gasoline_price</t>
  </si>
  <si>
    <t>heating_oil_price</t>
  </si>
  <si>
    <t>Gasoline</t>
  </si>
  <si>
    <t>Light fuel oil</t>
  </si>
  <si>
    <t>Marketable natural gas</t>
  </si>
  <si>
    <t>ng_rate_per_GJ</t>
  </si>
  <si>
    <t>direct_tax</t>
  </si>
  <si>
    <t>gross_cost</t>
  </si>
  <si>
    <t>CCR_single_base</t>
  </si>
  <si>
    <t>CCR_couple_base</t>
  </si>
  <si>
    <t>CCR_family4_base</t>
  </si>
  <si>
    <t>CCR_single_rural</t>
  </si>
  <si>
    <t>CCR_couple_rural</t>
  </si>
  <si>
    <t>CCR_family4_rural</t>
  </si>
  <si>
    <t>net_single_base</t>
  </si>
  <si>
    <t>net_couple_base</t>
  </si>
  <si>
    <t>net_family4_base</t>
  </si>
  <si>
    <t>net_single_rural</t>
  </si>
  <si>
    <t>net_couple_rural</t>
  </si>
  <si>
    <t>net_family4_rural</t>
  </si>
  <si>
    <t>etr_direct_tax</t>
  </si>
  <si>
    <t>etr_gross_cost</t>
  </si>
  <si>
    <t>etr_net_single_base</t>
  </si>
  <si>
    <t>etr_net_couple_base</t>
  </si>
  <si>
    <t>etr_net_family4_base</t>
  </si>
  <si>
    <t>etr_net_single_rural</t>
  </si>
  <si>
    <t>etr_net_couple_rural</t>
  </si>
  <si>
    <t>etr_net_family4_rural</t>
  </si>
  <si>
    <t>Ontario</t>
  </si>
  <si>
    <t>Lowest quintile</t>
  </si>
  <si>
    <t>Second quintile</t>
  </si>
  <si>
    <t>Third quintile</t>
  </si>
  <si>
    <t>Fourth quintile</t>
  </si>
  <si>
    <t>Highest quintile</t>
  </si>
  <si>
    <t>Manitoba</t>
  </si>
  <si>
    <t>Saskatchewan</t>
  </si>
  <si>
    <t>Alberta</t>
  </si>
  <si>
    <t>Column1</t>
  </si>
  <si>
    <t>gasoline_litres</t>
  </si>
  <si>
    <t>oil_litres</t>
  </si>
  <si>
    <t>ng_GJ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</si>
</sst>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920CA62-6BC1-2F4E-BE11-F1B584435C2A}" name="Table1" displayName="Table1" ref="A1:AN141" totalsRowShown="0">
  <autoFilter ref="A1:AN141" xr:uid="{5920CA62-6BC1-2F4E-BE11-F1B584435C2A}"/>
  <tableColumns count="40">
    <tableColumn id="1" xr3:uid="{5FB0148A-24BC-FD42-9E6C-F0FF1DD242C4}" name="Province"/>
    <tableColumn id="2" xr3:uid="{AB8EF487-C336-C44B-9BE4-F0B3DD3EF474}" name="Year"/>
    <tableColumn id="3" xr3:uid="{385E13C0-0E40-BD40-BD7A-690E23CFE039}" name="Quintile"/>
    <tableColumn id="4" xr3:uid="{94A3E4BB-8CE3-2249-92AA-9D0B06C62D23}" name="Households"/>
    <tableColumn id="5" xr3:uid="{43126670-0FDD-194C-B57A-16DE10798006}" name="gas_exp"/>
    <tableColumn id="6" xr3:uid="{8F20E2E5-63A2-8646-80BB-DB371B5D7ECE}" name="ng_exp"/>
    <tableColumn id="7" xr3:uid="{382CAEFE-E65B-A443-899E-A2DF378EFB1D}" name="oil_exp"/>
    <tableColumn id="8" xr3:uid="{4DE7D9DD-B957-7E49-9E87-FF3F63208140}" name="total_exp"/>
    <tableColumn id="9" xr3:uid="{21571901-EA56-0444-8331-15A103272C4F}" name="gasoline_price"/>
    <tableColumn id="10" xr3:uid="{8D6AABC8-6D0B-7543-AB05-848E09700B82}" name="heating_oil_price"/>
    <tableColumn id="11" xr3:uid="{B5138F2C-7F1B-A943-BAF6-72A9465A188A}" name="Gasoline"/>
    <tableColumn id="12" xr3:uid="{8636F9B2-709F-C143-B8FB-98D7E632C1E8}" name="Light fuel oil"/>
    <tableColumn id="13" xr3:uid="{50B832D1-8629-D046-9B29-44C83D359182}" name="Marketable natural gas"/>
    <tableColumn id="14" xr3:uid="{690F10AD-96A4-1C4B-9437-32EA2AC7F0D1}" name="ng_rate_per_GJ"/>
    <tableColumn id="40" xr3:uid="{120D9EE1-2A40-834A-97B8-9C8B1291594F}" name="gasoline_litres" dataDxfId="1">
      <calculatedColumnFormula>Table1[[#This Row],[gas_exp]]/Table1[[#This Row],[gasoline_price]]</calculatedColumnFormula>
    </tableColumn>
    <tableColumn id="39" xr3:uid="{CC6F22DE-C748-1445-83FD-A12911C5EE5E}" name="oil_litres" dataDxfId="0">
      <calculatedColumnFormula>Table1[[#This Row],[oil_exp]]/Table1[[#This Row],[heating_oil_price]]</calculatedColumnFormula>
    </tableColumn>
    <tableColumn id="38" xr3:uid="{E5E793A0-E2CE-3141-9561-7C872A15955D}" name="ng_GJ"/>
    <tableColumn id="37" xr3:uid="{8852A5B2-D4FC-2C46-BD28-53FB731E2AE0}" name="Column1"/>
    <tableColumn id="15" xr3:uid="{10443DA7-C283-E444-9352-C1AE2E45CCC7}" name="direct_tax"/>
    <tableColumn id="16" xr3:uid="{8224D47D-C3A7-4943-8FE6-FD34BB299FA4}" name="gross_cost"/>
    <tableColumn id="17" xr3:uid="{106F7050-BC83-A149-A923-69914910D550}" name="CCR_single_base"/>
    <tableColumn id="18" xr3:uid="{6C5FB7DB-FEFF-0E4F-A19D-5BA451193DEB}" name="CCR_couple_base"/>
    <tableColumn id="19" xr3:uid="{2FD877B2-0F01-C743-A289-5A0A6B377602}" name="CCR_family4_base"/>
    <tableColumn id="20" xr3:uid="{43F404ED-16B2-3841-8357-730B0FFF1588}" name="CCR_single_rural"/>
    <tableColumn id="21" xr3:uid="{F8B5A72D-BC7D-AB40-89C2-0E2125935ECE}" name="CCR_couple_rural"/>
    <tableColumn id="22" xr3:uid="{7F7DE71B-CB15-7C48-BE1A-2E85BB83C5A0}" name="CCR_family4_rural"/>
    <tableColumn id="23" xr3:uid="{0740A6BD-2CE3-CB45-8A80-154AA54FB734}" name="net_single_base"/>
    <tableColumn id="24" xr3:uid="{1303D64E-957F-4D47-9F28-A59343105645}" name="net_couple_base"/>
    <tableColumn id="25" xr3:uid="{42F78B31-56ED-F24C-81C3-A25A5476A4A5}" name="net_family4_base"/>
    <tableColumn id="26" xr3:uid="{39B380E9-4D05-1D41-9307-6D92523D15EE}" name="net_single_rural"/>
    <tableColumn id="27" xr3:uid="{5873545D-7F75-144A-8928-8A671AEDAA24}" name="net_couple_rural"/>
    <tableColumn id="28" xr3:uid="{3AA79234-4402-4343-BD30-8B8D7652B5EE}" name="net_family4_rural"/>
    <tableColumn id="29" xr3:uid="{B9B2796A-6457-A045-9B2B-BA246CA01882}" name="etr_direct_tax"/>
    <tableColumn id="30" xr3:uid="{EE4FD994-3502-6E44-B6CF-60E7700D055D}" name="etr_gross_cost"/>
    <tableColumn id="31" xr3:uid="{76EE67A1-F949-7641-AA7A-75CE8F384306}" name="etr_net_single_base"/>
    <tableColumn id="32" xr3:uid="{37A125A2-447B-E045-A217-19D440F48FAB}" name="etr_net_couple_base"/>
    <tableColumn id="33" xr3:uid="{2D3F595E-DE99-AA4B-B44D-4C7E67F905C1}" name="etr_net_family4_base"/>
    <tableColumn id="34" xr3:uid="{5682FA68-FA91-3446-8A66-7E5AE2B1739B}" name="etr_net_single_rural"/>
    <tableColumn id="35" xr3:uid="{4AD02D05-E4D9-7F46-A342-9ED1C21C9427}" name="etr_net_couple_rural"/>
    <tableColumn id="36" xr3:uid="{F3E21019-C2E5-7A4E-9DF5-ABB0985F9755}" name="etr_net_family4_rural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AB27E-CD5C-5741-97BE-691F73578C70}">
  <dimension ref="A1:AN141"/>
  <sheetViews>
    <sheetView tabSelected="1" topLeftCell="F1" zoomScale="150" workbookViewId="0">
      <selection activeCell="Q2" sqref="Q2"/>
    </sheetView>
  </sheetViews>
  <sheetFormatPr baseColWidth="10" defaultRowHeight="16" x14ac:dyDescent="0.2"/>
  <cols>
    <col min="1" max="1" width="12.83203125" bestFit="1" customWidth="1"/>
    <col min="2" max="2" width="7.33203125" bestFit="1" customWidth="1"/>
    <col min="3" max="3" width="13.83203125" bestFit="1" customWidth="1"/>
    <col min="4" max="4" width="13.5" bestFit="1" customWidth="1"/>
    <col min="5" max="5" width="10.5" customWidth="1"/>
    <col min="6" max="7" width="9.33203125" bestFit="1" customWidth="1"/>
    <col min="8" max="8" width="11.1640625" bestFit="1" customWidth="1"/>
    <col min="9" max="9" width="15.6640625" bestFit="1" customWidth="1"/>
    <col min="10" max="10" width="17.6640625" bestFit="1" customWidth="1"/>
    <col min="11" max="11" width="11" bestFit="1" customWidth="1"/>
    <col min="12" max="12" width="13.6640625" bestFit="1" customWidth="1"/>
    <col min="13" max="13" width="22.6640625" bestFit="1" customWidth="1"/>
    <col min="14" max="14" width="16.1640625" bestFit="1" customWidth="1"/>
    <col min="15" max="18" width="16.1640625" customWidth="1"/>
    <col min="19" max="19" width="12.1640625" bestFit="1" customWidth="1"/>
    <col min="20" max="20" width="12.83203125" bestFit="1" customWidth="1"/>
    <col min="21" max="21" width="18.1640625" bestFit="1" customWidth="1"/>
    <col min="22" max="22" width="18.83203125" bestFit="1" customWidth="1"/>
    <col min="23" max="23" width="19.5" bestFit="1" customWidth="1"/>
    <col min="24" max="24" width="18" bestFit="1" customWidth="1"/>
    <col min="25" max="25" width="18.5" bestFit="1" customWidth="1"/>
    <col min="26" max="26" width="19.33203125" bestFit="1" customWidth="1"/>
    <col min="27" max="27" width="17" bestFit="1" customWidth="1"/>
    <col min="28" max="28" width="17.5" bestFit="1" customWidth="1"/>
    <col min="29" max="29" width="18.1640625" bestFit="1" customWidth="1"/>
    <col min="30" max="30" width="16.83203125" bestFit="1" customWidth="1"/>
    <col min="31" max="31" width="17.33203125" bestFit="1" customWidth="1"/>
    <col min="32" max="32" width="18" bestFit="1" customWidth="1"/>
    <col min="33" max="33" width="15" bestFit="1" customWidth="1"/>
    <col min="34" max="34" width="16" bestFit="1" customWidth="1"/>
    <col min="35" max="35" width="20.33203125" bestFit="1" customWidth="1"/>
    <col min="36" max="36" width="20.83203125" bestFit="1" customWidth="1"/>
    <col min="37" max="37" width="21.5" bestFit="1" customWidth="1"/>
    <col min="38" max="38" width="20.1640625" bestFit="1" customWidth="1"/>
    <col min="39" max="39" width="20.6640625" bestFit="1" customWidth="1"/>
    <col min="40" max="40" width="21.33203125" bestFit="1" customWidth="1"/>
  </cols>
  <sheetData>
    <row r="1" spans="1:40" x14ac:dyDescent="0.2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46</v>
      </c>
      <c r="P1" s="2" t="s">
        <v>47</v>
      </c>
      <c r="Q1" s="2" t="s">
        <v>48</v>
      </c>
      <c r="R1" s="2" t="s">
        <v>45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  <c r="AE1" t="s">
        <v>26</v>
      </c>
      <c r="AF1" t="s">
        <v>27</v>
      </c>
      <c r="AG1" t="s">
        <v>28</v>
      </c>
      <c r="AH1" t="s">
        <v>29</v>
      </c>
      <c r="AI1" t="s">
        <v>30</v>
      </c>
      <c r="AJ1" t="s">
        <v>31</v>
      </c>
      <c r="AK1" t="s">
        <v>32</v>
      </c>
      <c r="AL1" t="s">
        <v>33</v>
      </c>
      <c r="AM1" t="s">
        <v>34</v>
      </c>
      <c r="AN1" t="s">
        <v>35</v>
      </c>
    </row>
    <row r="2" spans="1:40" x14ac:dyDescent="0.2">
      <c r="A2" t="s">
        <v>36</v>
      </c>
      <c r="B2">
        <v>2019</v>
      </c>
      <c r="C2" t="s">
        <v>37</v>
      </c>
      <c r="D2">
        <v>1176865</v>
      </c>
      <c r="E2">
        <v>1187</v>
      </c>
      <c r="F2">
        <v>333</v>
      </c>
      <c r="G2">
        <v>101</v>
      </c>
      <c r="H2">
        <v>38714</v>
      </c>
      <c r="I2">
        <v>1.2092499999999999</v>
      </c>
      <c r="J2">
        <v>1.3276666666666599</v>
      </c>
      <c r="K2">
        <v>4.4200000000000003E-2</v>
      </c>
      <c r="L2">
        <v>5.3699999999999998E-2</v>
      </c>
      <c r="M2">
        <v>3.9100000000000003E-2</v>
      </c>
      <c r="N2">
        <v>1.0499522999999999</v>
      </c>
      <c r="O2">
        <f>Table1[[#This Row],[gas_exp]]/Table1[[#This Row],[gasoline_price]]</f>
        <v>981.60016539177184</v>
      </c>
      <c r="P2">
        <f>Table1[[#This Row],[oil_exp]]/Table1[[#This Row],[heating_oil_price]]</f>
        <v>76.073311574190697</v>
      </c>
      <c r="S2">
        <v>65.897582049780297</v>
      </c>
      <c r="T2">
        <v>126.168526464302</v>
      </c>
      <c r="U2">
        <v>154</v>
      </c>
      <c r="V2">
        <v>231</v>
      </c>
      <c r="W2">
        <v>307</v>
      </c>
      <c r="X2">
        <v>169.4</v>
      </c>
      <c r="Y2">
        <v>254.1</v>
      </c>
      <c r="Z2">
        <v>337.7</v>
      </c>
      <c r="AA2">
        <v>-27.831473535697299</v>
      </c>
      <c r="AB2">
        <v>-104.831473535697</v>
      </c>
      <c r="AC2">
        <v>-180.831473535697</v>
      </c>
      <c r="AD2">
        <v>-43.231473535697297</v>
      </c>
      <c r="AE2">
        <v>-127.93147353569699</v>
      </c>
      <c r="AF2">
        <v>-211.53147353569699</v>
      </c>
      <c r="AG2">
        <v>1.70216412795837E-3</v>
      </c>
      <c r="AH2">
        <v>3.2589896798135699E-3</v>
      </c>
      <c r="AI2">
        <v>-7.1889945589960404E-4</v>
      </c>
      <c r="AJ2">
        <v>-2.7078440237561902E-3</v>
      </c>
      <c r="AK2">
        <v>-4.6709581426795802E-3</v>
      </c>
      <c r="AL2">
        <v>-1.11668836947092E-3</v>
      </c>
      <c r="AM2">
        <v>-3.3045273941131699E-3</v>
      </c>
      <c r="AN2">
        <v>-5.4639529249288898E-3</v>
      </c>
    </row>
    <row r="3" spans="1:40" x14ac:dyDescent="0.2">
      <c r="A3" t="s">
        <v>36</v>
      </c>
      <c r="B3">
        <v>2020</v>
      </c>
      <c r="C3" t="s">
        <v>37</v>
      </c>
      <c r="D3">
        <v>1208939</v>
      </c>
      <c r="E3">
        <v>1247</v>
      </c>
      <c r="F3">
        <v>369.5</v>
      </c>
      <c r="G3">
        <v>102</v>
      </c>
      <c r="H3">
        <v>39703</v>
      </c>
      <c r="I3">
        <v>1.0371666666666599</v>
      </c>
      <c r="J3">
        <v>1.17475</v>
      </c>
      <c r="K3">
        <v>6.6299999999999998E-2</v>
      </c>
      <c r="L3">
        <v>8.0500000000000002E-2</v>
      </c>
      <c r="M3">
        <v>5.8700000000000002E-2</v>
      </c>
      <c r="N3">
        <v>1.5762711</v>
      </c>
      <c r="O3">
        <f>Table1[[#This Row],[gas_exp]]/Table1[[#This Row],[gasoline_price]]</f>
        <v>1202.3139964647355</v>
      </c>
      <c r="P3">
        <f>Table1[[#This Row],[oil_exp]]/Table1[[#This Row],[heating_oil_price]]</f>
        <v>86.826984464779741</v>
      </c>
      <c r="S3">
        <v>117.397165650441</v>
      </c>
      <c r="T3">
        <v>222.302643380408</v>
      </c>
      <c r="U3">
        <v>224</v>
      </c>
      <c r="V3">
        <v>336</v>
      </c>
      <c r="W3">
        <v>448</v>
      </c>
      <c r="X3">
        <v>246.4</v>
      </c>
      <c r="Y3">
        <v>369.6</v>
      </c>
      <c r="Z3">
        <v>492.8</v>
      </c>
      <c r="AA3">
        <v>-1.6973566195918</v>
      </c>
      <c r="AB3">
        <v>-113.69735661959101</v>
      </c>
      <c r="AC3">
        <v>-225.69735661959101</v>
      </c>
      <c r="AD3">
        <v>-24.0973566195918</v>
      </c>
      <c r="AE3">
        <v>-147.297356619591</v>
      </c>
      <c r="AF3">
        <v>-270.49735661959102</v>
      </c>
      <c r="AG3">
        <v>2.9568840049981398E-3</v>
      </c>
      <c r="AH3">
        <v>5.5991396967586303E-3</v>
      </c>
      <c r="AI3" s="1">
        <v>-4.2751344220633203E-5</v>
      </c>
      <c r="AJ3">
        <v>-2.8636968647102602E-3</v>
      </c>
      <c r="AK3">
        <v>-5.6846423851998999E-3</v>
      </c>
      <c r="AL3">
        <v>-6.0694044831856103E-4</v>
      </c>
      <c r="AM3">
        <v>-3.7099805208571598E-3</v>
      </c>
      <c r="AN3">
        <v>-6.81302059339576E-3</v>
      </c>
    </row>
    <row r="4" spans="1:40" x14ac:dyDescent="0.2">
      <c r="A4" t="s">
        <v>36</v>
      </c>
      <c r="B4">
        <v>2021</v>
      </c>
      <c r="C4" t="s">
        <v>37</v>
      </c>
      <c r="D4">
        <v>1286480</v>
      </c>
      <c r="E4">
        <v>1307</v>
      </c>
      <c r="F4">
        <v>406</v>
      </c>
      <c r="G4">
        <v>103</v>
      </c>
      <c r="H4">
        <v>40692</v>
      </c>
      <c r="I4">
        <v>1.3430555555555499</v>
      </c>
      <c r="J4">
        <v>1.40994444444444</v>
      </c>
      <c r="K4">
        <v>8.8400000000000006E-2</v>
      </c>
      <c r="L4">
        <v>0.10730000000000001</v>
      </c>
      <c r="M4">
        <v>7.8299999999999995E-2</v>
      </c>
      <c r="N4">
        <v>2.1025898999999999</v>
      </c>
      <c r="O4">
        <f>Table1[[#This Row],[gas_exp]]/Table1[[#This Row],[gasoline_price]]</f>
        <v>973.15408479834946</v>
      </c>
      <c r="P4">
        <f>Table1[[#This Row],[oil_exp]]/Table1[[#This Row],[heating_oil_price]]</f>
        <v>73.052523740100312</v>
      </c>
      <c r="S4">
        <v>138.85279091186601</v>
      </c>
      <c r="T4">
        <v>260.01210663324701</v>
      </c>
      <c r="U4">
        <v>300</v>
      </c>
      <c r="V4">
        <v>450</v>
      </c>
      <c r="W4">
        <v>600</v>
      </c>
      <c r="X4">
        <v>330</v>
      </c>
      <c r="Y4">
        <v>495</v>
      </c>
      <c r="Z4">
        <v>660</v>
      </c>
      <c r="AA4">
        <v>-39.9878933667528</v>
      </c>
      <c r="AB4">
        <v>-189.98789336675199</v>
      </c>
      <c r="AC4">
        <v>-339.98789336675202</v>
      </c>
      <c r="AD4">
        <v>-69.9878933667528</v>
      </c>
      <c r="AE4">
        <v>-234.98789336675199</v>
      </c>
      <c r="AF4">
        <v>-399.98789336675202</v>
      </c>
      <c r="AG4">
        <v>3.4122872041646101E-3</v>
      </c>
      <c r="AH4">
        <v>6.3897598209290999E-3</v>
      </c>
      <c r="AI4">
        <v>-9.8269668157753001E-4</v>
      </c>
      <c r="AJ4">
        <v>-4.66892493283084E-3</v>
      </c>
      <c r="AK4">
        <v>-8.35515318408416E-3</v>
      </c>
      <c r="AL4">
        <v>-1.7199423318281901E-3</v>
      </c>
      <c r="AM4">
        <v>-5.7747934082068401E-3</v>
      </c>
      <c r="AN4">
        <v>-9.82964448458549E-3</v>
      </c>
    </row>
    <row r="5" spans="1:40" x14ac:dyDescent="0.2">
      <c r="A5" t="s">
        <v>36</v>
      </c>
      <c r="B5">
        <v>2022</v>
      </c>
      <c r="C5" t="s">
        <v>37</v>
      </c>
      <c r="D5">
        <v>1404370</v>
      </c>
      <c r="E5">
        <v>1131</v>
      </c>
      <c r="F5">
        <v>489.5</v>
      </c>
      <c r="G5">
        <v>103</v>
      </c>
      <c r="H5">
        <v>42659.5</v>
      </c>
      <c r="I5">
        <v>1.6998888888888799</v>
      </c>
      <c r="J5">
        <v>2.18194444444444</v>
      </c>
      <c r="K5">
        <v>0.1105</v>
      </c>
      <c r="L5">
        <v>0.1341</v>
      </c>
      <c r="M5">
        <v>9.7900000000000001E-2</v>
      </c>
      <c r="N5">
        <v>2.6289087000000002</v>
      </c>
      <c r="O5">
        <f>Table1[[#This Row],[gas_exp]]/Table1[[#This Row],[gasoline_price]]</f>
        <v>665.33760376495547</v>
      </c>
      <c r="P5">
        <f>Table1[[#This Row],[oil_exp]]/Table1[[#This Row],[heating_oil_price]]</f>
        <v>47.205601527689467</v>
      </c>
      <c r="S5">
        <v>147.667113996745</v>
      </c>
      <c r="T5">
        <v>273.41350001059499</v>
      </c>
      <c r="U5">
        <v>373</v>
      </c>
      <c r="V5">
        <v>559</v>
      </c>
      <c r="W5">
        <v>745</v>
      </c>
      <c r="X5">
        <v>410.3</v>
      </c>
      <c r="Y5">
        <v>614.9</v>
      </c>
      <c r="Z5">
        <v>819.5</v>
      </c>
      <c r="AA5">
        <v>-99.586499989404302</v>
      </c>
      <c r="AB5">
        <v>-285.58649998940399</v>
      </c>
      <c r="AC5">
        <v>-471.58649998940399</v>
      </c>
      <c r="AD5">
        <v>-136.886499989404</v>
      </c>
      <c r="AE5">
        <v>-341.48649998940402</v>
      </c>
      <c r="AF5">
        <v>-546.08649998940405</v>
      </c>
      <c r="AG5">
        <v>3.46152941306732E-3</v>
      </c>
      <c r="AH5">
        <v>6.4092054527267201E-3</v>
      </c>
      <c r="AI5">
        <v>-2.3344507082690598E-3</v>
      </c>
      <c r="AJ5">
        <v>-6.6945580700524896E-3</v>
      </c>
      <c r="AK5">
        <v>-1.10546654318359E-2</v>
      </c>
      <c r="AL5">
        <v>-3.2088163243686402E-3</v>
      </c>
      <c r="AM5">
        <v>-8.0049344223304102E-3</v>
      </c>
      <c r="AN5">
        <v>-1.28010525202921E-2</v>
      </c>
    </row>
    <row r="6" spans="1:40" x14ac:dyDescent="0.2">
      <c r="A6" t="s">
        <v>36</v>
      </c>
      <c r="B6">
        <v>2023</v>
      </c>
      <c r="C6" t="s">
        <v>37</v>
      </c>
      <c r="D6">
        <v>1453486</v>
      </c>
      <c r="E6">
        <v>955</v>
      </c>
      <c r="F6">
        <v>573</v>
      </c>
      <c r="G6">
        <v>103</v>
      </c>
      <c r="H6">
        <v>44627</v>
      </c>
      <c r="I6">
        <v>1.55883333333333</v>
      </c>
      <c r="J6">
        <v>1.9092499999999999</v>
      </c>
      <c r="K6">
        <v>0.1431</v>
      </c>
      <c r="L6">
        <v>0.17380000000000001</v>
      </c>
      <c r="M6">
        <v>0.1239</v>
      </c>
      <c r="N6">
        <v>3.3270867000000002</v>
      </c>
      <c r="O6">
        <f>Table1[[#This Row],[gas_exp]]/Table1[[#This Row],[gasoline_price]]</f>
        <v>612.63765636694245</v>
      </c>
      <c r="P6">
        <f>Table1[[#This Row],[oil_exp]]/Table1[[#This Row],[heating_oil_price]]</f>
        <v>53.947885295273018</v>
      </c>
      <c r="S6">
        <v>197.51296087899701</v>
      </c>
      <c r="T6">
        <v>359.47791726392899</v>
      </c>
      <c r="U6">
        <v>488</v>
      </c>
      <c r="V6">
        <v>732</v>
      </c>
      <c r="W6">
        <v>976</v>
      </c>
      <c r="X6">
        <v>536.79999999999995</v>
      </c>
      <c r="Y6">
        <v>805.2</v>
      </c>
      <c r="Z6">
        <v>1073.5999999999999</v>
      </c>
      <c r="AA6">
        <v>-128.52208273606999</v>
      </c>
      <c r="AB6">
        <v>-372.52208273606999</v>
      </c>
      <c r="AC6">
        <v>-616.52208273607005</v>
      </c>
      <c r="AD6">
        <v>-177.32208273607</v>
      </c>
      <c r="AE6">
        <v>-445.72208273606998</v>
      </c>
      <c r="AF6">
        <v>-714.12208273607098</v>
      </c>
      <c r="AG6">
        <v>4.4258623900104797E-3</v>
      </c>
      <c r="AH6">
        <v>8.05516654186768E-3</v>
      </c>
      <c r="AI6">
        <v>-2.8799176000195098E-3</v>
      </c>
      <c r="AJ6">
        <v>-8.3474596709631095E-3</v>
      </c>
      <c r="AK6">
        <v>-1.38150017419067E-2</v>
      </c>
      <c r="AL6">
        <v>-3.9734260142082296E-3</v>
      </c>
      <c r="AM6">
        <v>-9.98772229224619E-3</v>
      </c>
      <c r="AN6">
        <v>-1.6002018570284101E-2</v>
      </c>
    </row>
    <row r="7" spans="1:40" x14ac:dyDescent="0.2">
      <c r="A7" t="s">
        <v>36</v>
      </c>
      <c r="B7">
        <v>2024</v>
      </c>
      <c r="C7" t="s">
        <v>37</v>
      </c>
      <c r="D7">
        <v>1417179</v>
      </c>
      <c r="E7">
        <v>955</v>
      </c>
      <c r="F7">
        <v>573</v>
      </c>
      <c r="G7">
        <v>103</v>
      </c>
      <c r="H7">
        <v>44627</v>
      </c>
      <c r="I7">
        <v>1.56883333333333</v>
      </c>
      <c r="J7">
        <v>1.6484722222222199</v>
      </c>
      <c r="K7">
        <v>0.17610000000000001</v>
      </c>
      <c r="L7">
        <v>0.21390000000000001</v>
      </c>
      <c r="M7">
        <v>0.1525</v>
      </c>
      <c r="N7">
        <v>4.0950825000000002</v>
      </c>
      <c r="O7">
        <f>Table1[[#This Row],[gas_exp]]/Table1[[#This Row],[gasoline_price]]</f>
        <v>608.73260384574655</v>
      </c>
      <c r="P7">
        <f>Table1[[#This Row],[oil_exp]]/Table1[[#This Row],[heating_oil_price]]</f>
        <v>62.482096217036066</v>
      </c>
      <c r="S7">
        <v>244.222347678809</v>
      </c>
      <c r="T7">
        <v>436.78940923158598</v>
      </c>
      <c r="U7">
        <v>560</v>
      </c>
      <c r="V7">
        <v>840</v>
      </c>
      <c r="W7">
        <v>1120</v>
      </c>
      <c r="X7">
        <v>672</v>
      </c>
      <c r="Y7">
        <v>1008</v>
      </c>
      <c r="Z7">
        <v>1344</v>
      </c>
      <c r="AA7">
        <v>-123.210590768413</v>
      </c>
      <c r="AB7">
        <v>-403.210590768413</v>
      </c>
      <c r="AC7">
        <v>-683.210590768413</v>
      </c>
      <c r="AD7">
        <v>-235.210590768413</v>
      </c>
      <c r="AE7">
        <v>-571.210590768413</v>
      </c>
      <c r="AF7">
        <v>-907.210590768413</v>
      </c>
      <c r="AG7">
        <v>5.4725244286823998E-3</v>
      </c>
      <c r="AH7">
        <v>9.7875593078536795E-3</v>
      </c>
      <c r="AI7">
        <v>-2.7608979041480099E-3</v>
      </c>
      <c r="AJ7">
        <v>-9.0351265101488599E-3</v>
      </c>
      <c r="AK7">
        <v>-1.5309355116149699E-2</v>
      </c>
      <c r="AL7">
        <v>-5.2705893465483499E-3</v>
      </c>
      <c r="AM7">
        <v>-1.27996636737493E-2</v>
      </c>
      <c r="AN7">
        <v>-2.0328738000950398E-2</v>
      </c>
    </row>
    <row r="8" spans="1:40" x14ac:dyDescent="0.2">
      <c r="A8" t="s">
        <v>36</v>
      </c>
      <c r="B8">
        <v>2025</v>
      </c>
      <c r="C8" t="s">
        <v>37</v>
      </c>
      <c r="D8">
        <v>1417179</v>
      </c>
      <c r="E8">
        <v>955</v>
      </c>
      <c r="F8">
        <v>573</v>
      </c>
      <c r="G8">
        <v>103</v>
      </c>
      <c r="H8">
        <v>44627</v>
      </c>
      <c r="I8">
        <v>1.39052777777777</v>
      </c>
      <c r="J8">
        <v>1.57161111111111</v>
      </c>
      <c r="K8">
        <v>0</v>
      </c>
      <c r="L8">
        <v>0</v>
      </c>
      <c r="M8">
        <v>0</v>
      </c>
      <c r="N8">
        <v>0</v>
      </c>
      <c r="O8">
        <f>Table1[[#This Row],[gas_exp]]/Table1[[#This Row],[gasoline_price]]</f>
        <v>686.78958828582654</v>
      </c>
      <c r="P8">
        <f>Table1[[#This Row],[oil_exp]]/Table1[[#This Row],[heating_oil_price]]</f>
        <v>65.537841563858791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</row>
    <row r="9" spans="1:40" x14ac:dyDescent="0.2">
      <c r="A9" t="s">
        <v>36</v>
      </c>
      <c r="B9">
        <v>2019</v>
      </c>
      <c r="C9" t="s">
        <v>38</v>
      </c>
      <c r="D9">
        <v>1045892</v>
      </c>
      <c r="E9">
        <v>1760</v>
      </c>
      <c r="F9">
        <v>739</v>
      </c>
      <c r="G9">
        <v>68</v>
      </c>
      <c r="H9">
        <v>61243</v>
      </c>
      <c r="I9">
        <v>1.2092499999999999</v>
      </c>
      <c r="J9">
        <v>1.3276666666666599</v>
      </c>
      <c r="K9">
        <v>4.4200000000000003E-2</v>
      </c>
      <c r="L9">
        <v>5.3699999999999998E-2</v>
      </c>
      <c r="M9">
        <v>3.9100000000000003E-2</v>
      </c>
      <c r="N9">
        <v>1.0499522999999999</v>
      </c>
      <c r="O9">
        <f>Table1[[#This Row],[gas_exp]]/Table1[[#This Row],[gasoline_price]]</f>
        <v>1455.4475914823238</v>
      </c>
      <c r="P9">
        <f>Table1[[#This Row],[oil_exp]]/Table1[[#This Row],[heating_oil_price]]</f>
        <v>51.217675119257102</v>
      </c>
      <c r="S9">
        <v>107.971880006612</v>
      </c>
      <c r="T9">
        <v>206.72462594642701</v>
      </c>
      <c r="U9">
        <v>154</v>
      </c>
      <c r="V9">
        <v>231</v>
      </c>
      <c r="W9">
        <v>307</v>
      </c>
      <c r="X9">
        <v>169.4</v>
      </c>
      <c r="Y9">
        <v>254.1</v>
      </c>
      <c r="Z9">
        <v>337.7</v>
      </c>
      <c r="AA9">
        <v>52.724625946427302</v>
      </c>
      <c r="AB9">
        <v>-24.275374053572602</v>
      </c>
      <c r="AC9">
        <v>-100.27537405357199</v>
      </c>
      <c r="AD9">
        <v>37.324625946427297</v>
      </c>
      <c r="AE9">
        <v>-47.375374053572699</v>
      </c>
      <c r="AF9">
        <v>-130.97537405357201</v>
      </c>
      <c r="AG9">
        <v>1.7630076907828201E-3</v>
      </c>
      <c r="AH9">
        <v>3.37548170315672E-3</v>
      </c>
      <c r="AI9">
        <v>8.6090860908883099E-4</v>
      </c>
      <c r="AJ9">
        <v>-3.96377937945114E-4</v>
      </c>
      <c r="AK9">
        <v>-1.63733608826433E-3</v>
      </c>
      <c r="AL9">
        <v>6.0945129968204199E-4</v>
      </c>
      <c r="AM9">
        <v>-7.7356390205529895E-4</v>
      </c>
      <c r="AN9">
        <v>-2.1386178674064399E-3</v>
      </c>
    </row>
    <row r="10" spans="1:40" x14ac:dyDescent="0.2">
      <c r="A10" t="s">
        <v>36</v>
      </c>
      <c r="B10">
        <v>2020</v>
      </c>
      <c r="C10" t="s">
        <v>38</v>
      </c>
      <c r="D10">
        <v>1054243</v>
      </c>
      <c r="E10">
        <v>1512.5</v>
      </c>
      <c r="F10">
        <v>662.5</v>
      </c>
      <c r="G10">
        <v>94</v>
      </c>
      <c r="H10">
        <v>58542.5</v>
      </c>
      <c r="I10">
        <v>1.0371666666666599</v>
      </c>
      <c r="J10">
        <v>1.17475</v>
      </c>
      <c r="K10">
        <v>6.6299999999999998E-2</v>
      </c>
      <c r="L10">
        <v>8.0500000000000002E-2</v>
      </c>
      <c r="M10">
        <v>5.8700000000000002E-2</v>
      </c>
      <c r="N10">
        <v>1.5762711</v>
      </c>
      <c r="O10">
        <f>Table1[[#This Row],[gas_exp]]/Table1[[#This Row],[gasoline_price]]</f>
        <v>1458.2998553752304</v>
      </c>
      <c r="P10">
        <f>Table1[[#This Row],[oil_exp]]/Table1[[#This Row],[heating_oil_price]]</f>
        <v>80.01702489891467</v>
      </c>
      <c r="S10">
        <v>158.160186033364</v>
      </c>
      <c r="T10">
        <v>299.49128020214602</v>
      </c>
      <c r="U10">
        <v>224</v>
      </c>
      <c r="V10">
        <v>336</v>
      </c>
      <c r="W10">
        <v>448</v>
      </c>
      <c r="X10">
        <v>246.4</v>
      </c>
      <c r="Y10">
        <v>369.6</v>
      </c>
      <c r="Z10">
        <v>492.8</v>
      </c>
      <c r="AA10">
        <v>75.491280202146498</v>
      </c>
      <c r="AB10">
        <v>-36.508719797853402</v>
      </c>
      <c r="AC10">
        <v>-148.50871979785299</v>
      </c>
      <c r="AD10">
        <v>53.0912802021465</v>
      </c>
      <c r="AE10">
        <v>-70.108719797853396</v>
      </c>
      <c r="AF10">
        <v>-193.308719797853</v>
      </c>
      <c r="AG10">
        <v>2.7016302008517701E-3</v>
      </c>
      <c r="AH10">
        <v>5.1157924619233304E-3</v>
      </c>
      <c r="AI10">
        <v>1.2895124089703401E-3</v>
      </c>
      <c r="AJ10">
        <v>-6.2362761750614298E-4</v>
      </c>
      <c r="AK10">
        <v>-2.5367676439826299E-3</v>
      </c>
      <c r="AL10">
        <v>9.0688440367504798E-4</v>
      </c>
      <c r="AM10">
        <v>-1.19756962544909E-3</v>
      </c>
      <c r="AN10">
        <v>-3.3020236545732301E-3</v>
      </c>
    </row>
    <row r="11" spans="1:40" x14ac:dyDescent="0.2">
      <c r="A11" t="s">
        <v>36</v>
      </c>
      <c r="B11">
        <v>2021</v>
      </c>
      <c r="C11" t="s">
        <v>38</v>
      </c>
      <c r="D11">
        <v>1051434</v>
      </c>
      <c r="E11">
        <v>1265</v>
      </c>
      <c r="F11">
        <v>586</v>
      </c>
      <c r="G11">
        <v>120</v>
      </c>
      <c r="H11">
        <v>55842</v>
      </c>
      <c r="I11">
        <v>1.3430555555555499</v>
      </c>
      <c r="J11">
        <v>1.40994444444444</v>
      </c>
      <c r="K11">
        <v>8.8400000000000006E-2</v>
      </c>
      <c r="L11">
        <v>0.10730000000000001</v>
      </c>
      <c r="M11">
        <v>7.8299999999999995E-2</v>
      </c>
      <c r="N11">
        <v>2.1025898999999999</v>
      </c>
      <c r="O11">
        <f>Table1[[#This Row],[gas_exp]]/Table1[[#This Row],[gasoline_price]]</f>
        <v>941.8821096173773</v>
      </c>
      <c r="P11">
        <f>Table1[[#This Row],[oil_exp]]/Table1[[#This Row],[heating_oil_price]]</f>
        <v>85.109736396233373</v>
      </c>
      <c r="S11">
        <v>157.32725501527099</v>
      </c>
      <c r="T11">
        <v>294.60690518861497</v>
      </c>
      <c r="U11">
        <v>300</v>
      </c>
      <c r="V11">
        <v>450</v>
      </c>
      <c r="W11">
        <v>600</v>
      </c>
      <c r="X11">
        <v>330</v>
      </c>
      <c r="Y11">
        <v>495</v>
      </c>
      <c r="Z11">
        <v>660</v>
      </c>
      <c r="AA11">
        <v>-5.3930948113847403</v>
      </c>
      <c r="AB11">
        <v>-155.393094811384</v>
      </c>
      <c r="AC11">
        <v>-305.393094811384</v>
      </c>
      <c r="AD11">
        <v>-35.393094811384699</v>
      </c>
      <c r="AE11">
        <v>-200.393094811384</v>
      </c>
      <c r="AF11">
        <v>-365.393094811384</v>
      </c>
      <c r="AG11">
        <v>2.8173642601495501E-3</v>
      </c>
      <c r="AH11">
        <v>5.2757226673223597E-3</v>
      </c>
      <c r="AI11" s="1">
        <v>-9.6577751717072101E-5</v>
      </c>
      <c r="AJ11">
        <v>-2.7827279612367799E-3</v>
      </c>
      <c r="AK11">
        <v>-5.4688781707565E-3</v>
      </c>
      <c r="AL11">
        <v>-6.3380779362101505E-4</v>
      </c>
      <c r="AM11">
        <v>-3.5885730240926999E-3</v>
      </c>
      <c r="AN11">
        <v>-6.5433382545643896E-3</v>
      </c>
    </row>
    <row r="12" spans="1:40" x14ac:dyDescent="0.2">
      <c r="A12" t="s">
        <v>36</v>
      </c>
      <c r="B12">
        <v>2022</v>
      </c>
      <c r="C12" t="s">
        <v>38</v>
      </c>
      <c r="D12">
        <v>1028033</v>
      </c>
      <c r="E12">
        <v>1719</v>
      </c>
      <c r="F12">
        <v>703.5</v>
      </c>
      <c r="G12">
        <v>137</v>
      </c>
      <c r="H12">
        <v>64912.5</v>
      </c>
      <c r="I12">
        <v>1.6998888888888799</v>
      </c>
      <c r="J12">
        <v>2.18194444444444</v>
      </c>
      <c r="K12">
        <v>0.1105</v>
      </c>
      <c r="L12">
        <v>0.1341</v>
      </c>
      <c r="M12">
        <v>9.7900000000000001E-2</v>
      </c>
      <c r="N12">
        <v>2.6289087000000002</v>
      </c>
      <c r="O12">
        <f>Table1[[#This Row],[gas_exp]]/Table1[[#This Row],[gasoline_price]]</f>
        <v>1011.2425648735265</v>
      </c>
      <c r="P12">
        <f>Table1[[#This Row],[oil_exp]]/Table1[[#This Row],[heating_oil_price]]</f>
        <v>62.78803309993647</v>
      </c>
      <c r="S12">
        <v>217.62752280993999</v>
      </c>
      <c r="T12">
        <v>402.94891055711298</v>
      </c>
      <c r="U12">
        <v>373</v>
      </c>
      <c r="V12">
        <v>559</v>
      </c>
      <c r="W12">
        <v>745</v>
      </c>
      <c r="X12">
        <v>410.3</v>
      </c>
      <c r="Y12">
        <v>614.9</v>
      </c>
      <c r="Z12">
        <v>819.5</v>
      </c>
      <c r="AA12">
        <v>29.948910557113201</v>
      </c>
      <c r="AB12">
        <v>-156.051089442886</v>
      </c>
      <c r="AC12">
        <v>-342.051089442886</v>
      </c>
      <c r="AD12">
        <v>-7.3510894428867397</v>
      </c>
      <c r="AE12">
        <v>-211.951089442886</v>
      </c>
      <c r="AF12">
        <v>-416.551089442886</v>
      </c>
      <c r="AG12">
        <v>3.3526288898122901E-3</v>
      </c>
      <c r="AH12">
        <v>6.2075703532772997E-3</v>
      </c>
      <c r="AI12">
        <v>4.6137354988812999E-4</v>
      </c>
      <c r="AJ12">
        <v>-2.4040221751263102E-3</v>
      </c>
      <c r="AK12">
        <v>-5.2694179001407503E-3</v>
      </c>
      <c r="AL12">
        <v>-1.1324613045078701E-4</v>
      </c>
      <c r="AM12">
        <v>-3.2651814279666702E-3</v>
      </c>
      <c r="AN12">
        <v>-6.4171167254825599E-3</v>
      </c>
    </row>
    <row r="13" spans="1:40" x14ac:dyDescent="0.2">
      <c r="A13" t="s">
        <v>36</v>
      </c>
      <c r="B13">
        <v>2023</v>
      </c>
      <c r="C13" t="s">
        <v>38</v>
      </c>
      <c r="D13">
        <v>1047929</v>
      </c>
      <c r="E13">
        <v>2173</v>
      </c>
      <c r="F13">
        <v>821</v>
      </c>
      <c r="G13">
        <v>154</v>
      </c>
      <c r="H13">
        <v>73983</v>
      </c>
      <c r="I13">
        <v>1.55883333333333</v>
      </c>
      <c r="J13">
        <v>1.9092499999999999</v>
      </c>
      <c r="K13">
        <v>0.1431</v>
      </c>
      <c r="L13">
        <v>0.17380000000000001</v>
      </c>
      <c r="M13">
        <v>0.1239</v>
      </c>
      <c r="N13">
        <v>3.3270867000000002</v>
      </c>
      <c r="O13">
        <f>Table1[[#This Row],[gas_exp]]/Table1[[#This Row],[gasoline_price]]</f>
        <v>1393.9912327595455</v>
      </c>
      <c r="P13">
        <f>Table1[[#This Row],[oil_exp]]/Table1[[#This Row],[heating_oil_price]]</f>
        <v>80.659945004582951</v>
      </c>
      <c r="S13">
        <v>357.450905972577</v>
      </c>
      <c r="T13">
        <v>650.56848234808604</v>
      </c>
      <c r="U13">
        <v>488</v>
      </c>
      <c r="V13">
        <v>732</v>
      </c>
      <c r="W13">
        <v>976</v>
      </c>
      <c r="X13">
        <v>536.79999999999995</v>
      </c>
      <c r="Y13">
        <v>805.2</v>
      </c>
      <c r="Z13">
        <v>1073.5999999999999</v>
      </c>
      <c r="AA13">
        <v>162.56848234808601</v>
      </c>
      <c r="AB13">
        <v>-81.431517651913097</v>
      </c>
      <c r="AC13">
        <v>-325.431517651913</v>
      </c>
      <c r="AD13">
        <v>113.768482348086</v>
      </c>
      <c r="AE13">
        <v>-154.63151765191299</v>
      </c>
      <c r="AF13">
        <v>-423.03151765191302</v>
      </c>
      <c r="AG13">
        <v>4.8315275938063699E-3</v>
      </c>
      <c r="AH13">
        <v>8.7934861028626399E-3</v>
      </c>
      <c r="AI13">
        <v>2.1973761857195101E-3</v>
      </c>
      <c r="AJ13">
        <v>-1.1006787728520401E-3</v>
      </c>
      <c r="AK13">
        <v>-4.3987337314236102E-3</v>
      </c>
      <c r="AL13">
        <v>1.5377651940052001E-3</v>
      </c>
      <c r="AM13">
        <v>-2.0900952604235102E-3</v>
      </c>
      <c r="AN13">
        <v>-5.7179557148522402E-3</v>
      </c>
    </row>
    <row r="14" spans="1:40" x14ac:dyDescent="0.2">
      <c r="A14" t="s">
        <v>36</v>
      </c>
      <c r="B14">
        <v>2024</v>
      </c>
      <c r="C14" t="s">
        <v>38</v>
      </c>
      <c r="D14">
        <v>1099841</v>
      </c>
      <c r="E14">
        <v>2173</v>
      </c>
      <c r="F14">
        <v>821</v>
      </c>
      <c r="G14">
        <v>154</v>
      </c>
      <c r="H14">
        <v>73983</v>
      </c>
      <c r="I14">
        <v>1.56883333333333</v>
      </c>
      <c r="J14">
        <v>1.6484722222222199</v>
      </c>
      <c r="K14">
        <v>0.17610000000000001</v>
      </c>
      <c r="L14">
        <v>0.21390000000000001</v>
      </c>
      <c r="M14">
        <v>0.1525</v>
      </c>
      <c r="N14">
        <v>4.0950825000000002</v>
      </c>
      <c r="O14">
        <f>Table1[[#This Row],[gas_exp]]/Table1[[#This Row],[gasoline_price]]</f>
        <v>1385.105704876238</v>
      </c>
      <c r="P14">
        <f>Table1[[#This Row],[oil_exp]]/Table1[[#This Row],[heating_oil_price]]</f>
        <v>93.419833178869453</v>
      </c>
      <c r="S14">
        <v>441.08032294841502</v>
      </c>
      <c r="T14">
        <v>788.86807663356103</v>
      </c>
      <c r="U14">
        <v>560</v>
      </c>
      <c r="V14">
        <v>840</v>
      </c>
      <c r="W14">
        <v>1120</v>
      </c>
      <c r="X14">
        <v>672</v>
      </c>
      <c r="Y14">
        <v>1008</v>
      </c>
      <c r="Z14">
        <v>1344</v>
      </c>
      <c r="AA14">
        <v>228.868076633561</v>
      </c>
      <c r="AB14">
        <v>-51.131923366438201</v>
      </c>
      <c r="AC14">
        <v>-331.131923366438</v>
      </c>
      <c r="AD14">
        <v>116.868076633561</v>
      </c>
      <c r="AE14">
        <v>-219.131923366438</v>
      </c>
      <c r="AF14">
        <v>-555.13192336643795</v>
      </c>
      <c r="AG14">
        <v>5.9619145337228103E-3</v>
      </c>
      <c r="AH14">
        <v>1.0662828982787399E-2</v>
      </c>
      <c r="AI14">
        <v>3.0935225204920202E-3</v>
      </c>
      <c r="AJ14">
        <v>-6.9113071065566797E-4</v>
      </c>
      <c r="AK14">
        <v>-4.4757839418033598E-3</v>
      </c>
      <c r="AL14">
        <v>1.57966122803294E-3</v>
      </c>
      <c r="AM14">
        <v>-2.9619226493442798E-3</v>
      </c>
      <c r="AN14">
        <v>-7.5035065267215198E-3</v>
      </c>
    </row>
    <row r="15" spans="1:40" x14ac:dyDescent="0.2">
      <c r="A15" t="s">
        <v>36</v>
      </c>
      <c r="B15">
        <v>2025</v>
      </c>
      <c r="C15" t="s">
        <v>38</v>
      </c>
      <c r="D15">
        <v>1099841</v>
      </c>
      <c r="E15">
        <v>2173</v>
      </c>
      <c r="F15">
        <v>821</v>
      </c>
      <c r="G15">
        <v>154</v>
      </c>
      <c r="H15">
        <v>73983</v>
      </c>
      <c r="I15">
        <v>1.39052777777777</v>
      </c>
      <c r="J15">
        <v>1.57161111111111</v>
      </c>
      <c r="K15">
        <v>0</v>
      </c>
      <c r="L15">
        <v>0</v>
      </c>
      <c r="M15">
        <v>0</v>
      </c>
      <c r="N15">
        <v>0</v>
      </c>
      <c r="O15">
        <f>Table1[[#This Row],[gas_exp]]/Table1[[#This Row],[gasoline_price]]</f>
        <v>1562.7159951257604</v>
      </c>
      <c r="P15">
        <f>Table1[[#This Row],[oil_exp]]/Table1[[#This Row],[heating_oil_price]]</f>
        <v>97.98861748382771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</row>
    <row r="16" spans="1:40" x14ac:dyDescent="0.2">
      <c r="A16" t="s">
        <v>36</v>
      </c>
      <c r="B16">
        <v>2019</v>
      </c>
      <c r="C16" t="s">
        <v>39</v>
      </c>
      <c r="D16">
        <v>1102064</v>
      </c>
      <c r="E16">
        <v>2696</v>
      </c>
      <c r="F16">
        <v>839</v>
      </c>
      <c r="G16">
        <v>149</v>
      </c>
      <c r="H16">
        <v>80919</v>
      </c>
      <c r="I16">
        <v>1.2092499999999999</v>
      </c>
      <c r="J16">
        <v>1.3276666666666599</v>
      </c>
      <c r="K16">
        <v>4.4200000000000003E-2</v>
      </c>
      <c r="L16">
        <v>5.3699999999999998E-2</v>
      </c>
      <c r="M16">
        <v>3.9100000000000003E-2</v>
      </c>
      <c r="N16">
        <v>1.0499522999999999</v>
      </c>
      <c r="O16">
        <f>Table1[[#This Row],[gas_exp]]/Table1[[#This Row],[gasoline_price]]</f>
        <v>2229.481083316105</v>
      </c>
      <c r="P16">
        <f>Table1[[#This Row],[oil_exp]]/Table1[[#This Row],[heating_oil_price]]</f>
        <v>112.22696459954865</v>
      </c>
      <c r="S16">
        <v>150.99360781175699</v>
      </c>
      <c r="T16">
        <v>289.094689221632</v>
      </c>
      <c r="U16">
        <v>154</v>
      </c>
      <c r="V16">
        <v>231</v>
      </c>
      <c r="W16">
        <v>307</v>
      </c>
      <c r="X16">
        <v>169.4</v>
      </c>
      <c r="Y16">
        <v>254.1</v>
      </c>
      <c r="Z16">
        <v>337.7</v>
      </c>
      <c r="AA16">
        <v>135.094689221632</v>
      </c>
      <c r="AB16">
        <v>58.0946892216325</v>
      </c>
      <c r="AC16">
        <v>-17.905310778367401</v>
      </c>
      <c r="AD16">
        <v>119.694689221632</v>
      </c>
      <c r="AE16">
        <v>34.994689221632399</v>
      </c>
      <c r="AF16">
        <v>-48.605310778367503</v>
      </c>
      <c r="AG16">
        <v>1.8659845995595201E-3</v>
      </c>
      <c r="AH16">
        <v>3.5726428801842801E-3</v>
      </c>
      <c r="AI16">
        <v>1.6695051745774399E-3</v>
      </c>
      <c r="AJ16">
        <v>7.1793632177402698E-4</v>
      </c>
      <c r="AK16">
        <v>-2.21274493979998E-4</v>
      </c>
      <c r="AL16">
        <v>1.4791914040167601E-3</v>
      </c>
      <c r="AM16">
        <v>4.3246566593299997E-4</v>
      </c>
      <c r="AN16">
        <v>-6.00666231396427E-4</v>
      </c>
    </row>
    <row r="17" spans="1:40" x14ac:dyDescent="0.2">
      <c r="A17" t="s">
        <v>36</v>
      </c>
      <c r="B17">
        <v>2020</v>
      </c>
      <c r="C17" t="s">
        <v>39</v>
      </c>
      <c r="D17">
        <v>1097704</v>
      </c>
      <c r="E17">
        <v>2151</v>
      </c>
      <c r="F17">
        <v>807.5</v>
      </c>
      <c r="G17">
        <v>147</v>
      </c>
      <c r="H17">
        <v>81100.5</v>
      </c>
      <c r="I17">
        <v>1.0371666666666599</v>
      </c>
      <c r="J17">
        <v>1.17475</v>
      </c>
      <c r="K17">
        <v>6.6299999999999998E-2</v>
      </c>
      <c r="L17">
        <v>8.0500000000000002E-2</v>
      </c>
      <c r="M17">
        <v>5.8700000000000002E-2</v>
      </c>
      <c r="N17">
        <v>1.5762711</v>
      </c>
      <c r="O17">
        <f>Table1[[#This Row],[gas_exp]]/Table1[[#This Row],[gasoline_price]]</f>
        <v>2073.9193315121461</v>
      </c>
      <c r="P17">
        <f>Table1[[#This Row],[oil_exp]]/Table1[[#This Row],[heating_oil_price]]</f>
        <v>125.13300702277081</v>
      </c>
      <c r="S17">
        <v>214.65266947286199</v>
      </c>
      <c r="T17">
        <v>406.46514392486898</v>
      </c>
      <c r="U17">
        <v>224</v>
      </c>
      <c r="V17">
        <v>336</v>
      </c>
      <c r="W17">
        <v>448</v>
      </c>
      <c r="X17">
        <v>246.4</v>
      </c>
      <c r="Y17">
        <v>369.6</v>
      </c>
      <c r="Z17">
        <v>492.8</v>
      </c>
      <c r="AA17">
        <v>182.46514392486901</v>
      </c>
      <c r="AB17">
        <v>70.465143924869693</v>
      </c>
      <c r="AC17">
        <v>-41.5348560751302</v>
      </c>
      <c r="AD17">
        <v>160.06514392486901</v>
      </c>
      <c r="AE17">
        <v>36.865143924869699</v>
      </c>
      <c r="AF17">
        <v>-86.334856075130205</v>
      </c>
      <c r="AG17">
        <v>2.6467490271066402E-3</v>
      </c>
      <c r="AH17">
        <v>5.0118697655978598E-3</v>
      </c>
      <c r="AI17">
        <v>2.2498645991685501E-3</v>
      </c>
      <c r="AJ17">
        <v>8.6886201595390603E-4</v>
      </c>
      <c r="AK17">
        <v>-5.1214056726074696E-4</v>
      </c>
      <c r="AL17">
        <v>1.97366408252562E-3</v>
      </c>
      <c r="AM17">
        <v>4.5456124098951E-4</v>
      </c>
      <c r="AN17">
        <v>-1.0645416005466001E-3</v>
      </c>
    </row>
    <row r="18" spans="1:40" x14ac:dyDescent="0.2">
      <c r="A18" t="s">
        <v>36</v>
      </c>
      <c r="B18">
        <v>2021</v>
      </c>
      <c r="C18" t="s">
        <v>39</v>
      </c>
      <c r="D18">
        <v>1100936</v>
      </c>
      <c r="E18">
        <v>1606</v>
      </c>
      <c r="F18">
        <v>776</v>
      </c>
      <c r="G18">
        <v>145</v>
      </c>
      <c r="H18">
        <v>81282</v>
      </c>
      <c r="I18">
        <v>1.3430555555555499</v>
      </c>
      <c r="J18">
        <v>1.40994444444444</v>
      </c>
      <c r="K18">
        <v>8.8400000000000006E-2</v>
      </c>
      <c r="L18">
        <v>0.10730000000000001</v>
      </c>
      <c r="M18">
        <v>7.8299999999999995E-2</v>
      </c>
      <c r="N18">
        <v>2.1025898999999999</v>
      </c>
      <c r="O18">
        <f>Table1[[#This Row],[gas_exp]]/Table1[[#This Row],[gasoline_price]]</f>
        <v>1195.7807652533659</v>
      </c>
      <c r="P18">
        <f>Table1[[#This Row],[oil_exp]]/Table1[[#This Row],[heating_oil_price]]</f>
        <v>102.840931478782</v>
      </c>
      <c r="S18">
        <v>202.72768607455001</v>
      </c>
      <c r="T18">
        <v>379.62256561760302</v>
      </c>
      <c r="U18">
        <v>300</v>
      </c>
      <c r="V18">
        <v>450</v>
      </c>
      <c r="W18">
        <v>600</v>
      </c>
      <c r="X18">
        <v>330</v>
      </c>
      <c r="Y18">
        <v>495</v>
      </c>
      <c r="Z18">
        <v>660</v>
      </c>
      <c r="AA18">
        <v>79.622565617603598</v>
      </c>
      <c r="AB18">
        <v>-70.377434382396302</v>
      </c>
      <c r="AC18">
        <v>-220.37743438239599</v>
      </c>
      <c r="AD18">
        <v>49.622565617603598</v>
      </c>
      <c r="AE18">
        <v>-115.377434382396</v>
      </c>
      <c r="AF18">
        <v>-280.37743438239602</v>
      </c>
      <c r="AG18">
        <v>2.4941276798620899E-3</v>
      </c>
      <c r="AH18">
        <v>4.6704382965183297E-3</v>
      </c>
      <c r="AI18">
        <v>9.79584232888015E-4</v>
      </c>
      <c r="AJ18">
        <v>-8.6584279892714701E-4</v>
      </c>
      <c r="AK18">
        <v>-2.7112698307423001E-3</v>
      </c>
      <c r="AL18">
        <v>6.1049882652498204E-4</v>
      </c>
      <c r="AM18">
        <v>-1.41947090847169E-3</v>
      </c>
      <c r="AN18">
        <v>-3.44944064346837E-3</v>
      </c>
    </row>
    <row r="19" spans="1:40" x14ac:dyDescent="0.2">
      <c r="A19" t="s">
        <v>36</v>
      </c>
      <c r="B19">
        <v>2022</v>
      </c>
      <c r="C19" t="s">
        <v>39</v>
      </c>
      <c r="D19">
        <v>1076845</v>
      </c>
      <c r="E19">
        <v>1862</v>
      </c>
      <c r="F19">
        <v>829.5</v>
      </c>
      <c r="G19">
        <v>145.5</v>
      </c>
      <c r="H19">
        <v>88132</v>
      </c>
      <c r="I19">
        <v>1.6998888888888799</v>
      </c>
      <c r="J19">
        <v>2.18194444444444</v>
      </c>
      <c r="K19">
        <v>0.1105</v>
      </c>
      <c r="L19">
        <v>0.1341</v>
      </c>
      <c r="M19">
        <v>9.7900000000000001E-2</v>
      </c>
      <c r="N19">
        <v>2.6289087000000002</v>
      </c>
      <c r="O19">
        <f>Table1[[#This Row],[gas_exp]]/Table1[[#This Row],[gasoline_price]]</f>
        <v>1095.3657101771416</v>
      </c>
      <c r="P19">
        <f>Table1[[#This Row],[oil_exp]]/Table1[[#This Row],[heating_oil_price]]</f>
        <v>66.683640992998221</v>
      </c>
      <c r="S19">
        <v>244.90201093418901</v>
      </c>
      <c r="T19">
        <v>453.44907309982199</v>
      </c>
      <c r="U19">
        <v>373</v>
      </c>
      <c r="V19">
        <v>559</v>
      </c>
      <c r="W19">
        <v>745</v>
      </c>
      <c r="X19">
        <v>410.3</v>
      </c>
      <c r="Y19">
        <v>614.9</v>
      </c>
      <c r="Z19">
        <v>819.5</v>
      </c>
      <c r="AA19">
        <v>80.449073099822002</v>
      </c>
      <c r="AB19">
        <v>-105.550926900177</v>
      </c>
      <c r="AC19">
        <v>-291.55092690017699</v>
      </c>
      <c r="AD19">
        <v>43.149073099821997</v>
      </c>
      <c r="AE19">
        <v>-161.45092690017799</v>
      </c>
      <c r="AF19">
        <v>-366.05092690017801</v>
      </c>
      <c r="AG19">
        <v>2.77880918320461E-3</v>
      </c>
      <c r="AH19">
        <v>5.1451127070737297E-3</v>
      </c>
      <c r="AI19">
        <v>9.1282477533497495E-4</v>
      </c>
      <c r="AJ19">
        <v>-1.1976458823149099E-3</v>
      </c>
      <c r="AK19">
        <v>-3.3081165399648001E-3</v>
      </c>
      <c r="AL19">
        <v>4.8959598216109898E-4</v>
      </c>
      <c r="AM19">
        <v>-1.83192174125377E-3</v>
      </c>
      <c r="AN19">
        <v>-4.15343946466865E-3</v>
      </c>
    </row>
    <row r="20" spans="1:40" x14ac:dyDescent="0.2">
      <c r="A20" t="s">
        <v>36</v>
      </c>
      <c r="B20">
        <v>2023</v>
      </c>
      <c r="C20" t="s">
        <v>39</v>
      </c>
      <c r="D20">
        <v>1133997</v>
      </c>
      <c r="E20">
        <v>2118</v>
      </c>
      <c r="F20">
        <v>883</v>
      </c>
      <c r="G20">
        <v>146</v>
      </c>
      <c r="H20">
        <v>94982</v>
      </c>
      <c r="I20">
        <v>1.55883333333333</v>
      </c>
      <c r="J20">
        <v>1.9092499999999999</v>
      </c>
      <c r="K20">
        <v>0.1431</v>
      </c>
      <c r="L20">
        <v>0.17380000000000001</v>
      </c>
      <c r="M20">
        <v>0.1239</v>
      </c>
      <c r="N20">
        <v>3.3270867000000002</v>
      </c>
      <c r="O20">
        <f>Table1[[#This Row],[gas_exp]]/Table1[[#This Row],[gasoline_price]]</f>
        <v>1358.7084357960043</v>
      </c>
      <c r="P20">
        <f>Table1[[#This Row],[oil_exp]]/Table1[[#This Row],[heating_oil_price]]</f>
        <v>76.469817991357871</v>
      </c>
      <c r="S20">
        <v>362.54461673577498</v>
      </c>
      <c r="T20">
        <v>659.83914756494403</v>
      </c>
      <c r="U20">
        <v>488</v>
      </c>
      <c r="V20">
        <v>732</v>
      </c>
      <c r="W20">
        <v>976</v>
      </c>
      <c r="X20">
        <v>536.79999999999995</v>
      </c>
      <c r="Y20">
        <v>805.2</v>
      </c>
      <c r="Z20">
        <v>1073.5999999999999</v>
      </c>
      <c r="AA20">
        <v>171.839147564944</v>
      </c>
      <c r="AB20">
        <v>-72.160852435055205</v>
      </c>
      <c r="AC20">
        <v>-316.16085243505501</v>
      </c>
      <c r="AD20">
        <v>123.039147564944</v>
      </c>
      <c r="AE20">
        <v>-145.36085243505499</v>
      </c>
      <c r="AF20">
        <v>-413.76085243505503</v>
      </c>
      <c r="AG20">
        <v>3.8169823412412401E-3</v>
      </c>
      <c r="AH20">
        <v>6.9469915096012297E-3</v>
      </c>
      <c r="AI20">
        <v>1.80917592349018E-3</v>
      </c>
      <c r="AJ20">
        <v>-7.5973186956534099E-4</v>
      </c>
      <c r="AK20">
        <v>-3.3286396626208601E-3</v>
      </c>
      <c r="AL20">
        <v>1.2953943648790699E-3</v>
      </c>
      <c r="AM20">
        <v>-1.5304042074820001E-3</v>
      </c>
      <c r="AN20">
        <v>-4.3562027798430799E-3</v>
      </c>
    </row>
    <row r="21" spans="1:40" x14ac:dyDescent="0.2">
      <c r="A21" t="s">
        <v>36</v>
      </c>
      <c r="B21">
        <v>2024</v>
      </c>
      <c r="C21" t="s">
        <v>39</v>
      </c>
      <c r="D21">
        <v>1204098</v>
      </c>
      <c r="E21">
        <v>2118</v>
      </c>
      <c r="F21">
        <v>883</v>
      </c>
      <c r="G21">
        <v>146</v>
      </c>
      <c r="H21">
        <v>94982</v>
      </c>
      <c r="I21">
        <v>1.56883333333333</v>
      </c>
      <c r="J21">
        <v>1.6484722222222199</v>
      </c>
      <c r="K21">
        <v>0.17610000000000001</v>
      </c>
      <c r="L21">
        <v>0.21390000000000001</v>
      </c>
      <c r="M21">
        <v>0.1525</v>
      </c>
      <c r="N21">
        <v>4.0950825000000002</v>
      </c>
      <c r="O21">
        <f>Table1[[#This Row],[gas_exp]]/Table1[[#This Row],[gasoline_price]]</f>
        <v>1350.0478062254358</v>
      </c>
      <c r="P21">
        <f>Table1[[#This Row],[oil_exp]]/Table1[[#This Row],[heating_oil_price]]</f>
        <v>88.566854831915194</v>
      </c>
      <c r="S21">
        <v>447.24884748809501</v>
      </c>
      <c r="T21">
        <v>799.90042570040805</v>
      </c>
      <c r="U21">
        <v>560</v>
      </c>
      <c r="V21">
        <v>840</v>
      </c>
      <c r="W21">
        <v>1120</v>
      </c>
      <c r="X21">
        <v>672</v>
      </c>
      <c r="Y21">
        <v>1008</v>
      </c>
      <c r="Z21">
        <v>1344</v>
      </c>
      <c r="AA21">
        <v>239.90042570040799</v>
      </c>
      <c r="AB21">
        <v>-40.099574299591303</v>
      </c>
      <c r="AC21">
        <v>-320.09957429959098</v>
      </c>
      <c r="AD21">
        <v>127.90042570040799</v>
      </c>
      <c r="AE21">
        <v>-208.09957429959101</v>
      </c>
      <c r="AF21">
        <v>-544.09957429959104</v>
      </c>
      <c r="AG21">
        <v>4.7087747940461897E-3</v>
      </c>
      <c r="AH21">
        <v>8.4216001526648005E-3</v>
      </c>
      <c r="AI21">
        <v>2.5257462013898199E-3</v>
      </c>
      <c r="AJ21">
        <v>-4.2218077424766102E-4</v>
      </c>
      <c r="AK21">
        <v>-3.3701077498851499E-3</v>
      </c>
      <c r="AL21">
        <v>1.34657541113483E-3</v>
      </c>
      <c r="AM21">
        <v>-2.1909369596301502E-3</v>
      </c>
      <c r="AN21">
        <v>-5.7284493303951401E-3</v>
      </c>
    </row>
    <row r="22" spans="1:40" x14ac:dyDescent="0.2">
      <c r="A22" t="s">
        <v>36</v>
      </c>
      <c r="B22">
        <v>2025</v>
      </c>
      <c r="C22" t="s">
        <v>39</v>
      </c>
      <c r="D22">
        <v>1204098</v>
      </c>
      <c r="E22">
        <v>2118</v>
      </c>
      <c r="F22">
        <v>883</v>
      </c>
      <c r="G22">
        <v>146</v>
      </c>
      <c r="H22">
        <v>94982</v>
      </c>
      <c r="I22">
        <v>1.39052777777777</v>
      </c>
      <c r="J22">
        <v>1.57161111111111</v>
      </c>
      <c r="K22">
        <v>0</v>
      </c>
      <c r="L22">
        <v>0</v>
      </c>
      <c r="M22">
        <v>0</v>
      </c>
      <c r="N22">
        <v>0</v>
      </c>
      <c r="O22">
        <f>Table1[[#This Row],[gas_exp]]/Table1[[#This Row],[gasoline_price]]</f>
        <v>1523.1626680517074</v>
      </c>
      <c r="P22">
        <f>Table1[[#This Row],[oil_exp]]/Table1[[#This Row],[heating_oil_price]]</f>
        <v>92.898299692460029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</row>
    <row r="23" spans="1:40" x14ac:dyDescent="0.2">
      <c r="A23" t="s">
        <v>36</v>
      </c>
      <c r="B23">
        <v>2019</v>
      </c>
      <c r="C23" t="s">
        <v>40</v>
      </c>
      <c r="D23">
        <v>1196578</v>
      </c>
      <c r="E23">
        <v>3003</v>
      </c>
      <c r="F23">
        <v>989</v>
      </c>
      <c r="G23">
        <v>88</v>
      </c>
      <c r="H23">
        <v>115686</v>
      </c>
      <c r="I23">
        <v>1.2092499999999999</v>
      </c>
      <c r="J23">
        <v>1.3276666666666599</v>
      </c>
      <c r="K23">
        <v>4.4200000000000003E-2</v>
      </c>
      <c r="L23">
        <v>5.3699999999999998E-2</v>
      </c>
      <c r="M23">
        <v>3.9100000000000003E-2</v>
      </c>
      <c r="N23">
        <v>1.0499522999999999</v>
      </c>
      <c r="O23">
        <f>Table1[[#This Row],[gas_exp]]/Table1[[#This Row],[gasoline_price]]</f>
        <v>2483.3574529667148</v>
      </c>
      <c r="P23">
        <f>Table1[[#This Row],[oil_exp]]/Table1[[#This Row],[heating_oil_price]]</f>
        <v>66.281697213156249</v>
      </c>
      <c r="S23">
        <v>168.04755542316499</v>
      </c>
      <c r="T23">
        <v>321.74644022070999</v>
      </c>
      <c r="U23">
        <v>154</v>
      </c>
      <c r="V23">
        <v>231</v>
      </c>
      <c r="W23">
        <v>307</v>
      </c>
      <c r="X23">
        <v>169.4</v>
      </c>
      <c r="Y23">
        <v>254.1</v>
      </c>
      <c r="Z23">
        <v>337.7</v>
      </c>
      <c r="AA23">
        <v>167.74644022071001</v>
      </c>
      <c r="AB23">
        <v>90.746440220710198</v>
      </c>
      <c r="AC23">
        <v>14.7464402207102</v>
      </c>
      <c r="AD23">
        <v>152.34644022071001</v>
      </c>
      <c r="AE23">
        <v>67.646440220710204</v>
      </c>
      <c r="AF23">
        <v>-15.9535597792897</v>
      </c>
      <c r="AG23">
        <v>1.4526179090223899E-3</v>
      </c>
      <c r="AH23">
        <v>2.7812046420544398E-3</v>
      </c>
      <c r="AI23">
        <v>1.4500150426214899E-3</v>
      </c>
      <c r="AJ23">
        <v>7.8442024290502105E-4</v>
      </c>
      <c r="AK23">
        <v>1.27469531496553E-4</v>
      </c>
      <c r="AL23">
        <v>1.3168960826781999E-3</v>
      </c>
      <c r="AM23">
        <v>5.8474180299007803E-4</v>
      </c>
      <c r="AN23">
        <v>-1.3790397955923601E-4</v>
      </c>
    </row>
    <row r="24" spans="1:40" x14ac:dyDescent="0.2">
      <c r="A24" t="s">
        <v>36</v>
      </c>
      <c r="B24">
        <v>2020</v>
      </c>
      <c r="C24" t="s">
        <v>40</v>
      </c>
      <c r="D24">
        <v>1230810</v>
      </c>
      <c r="E24">
        <v>2990</v>
      </c>
      <c r="F24">
        <v>1003</v>
      </c>
      <c r="G24">
        <v>132.5</v>
      </c>
      <c r="H24">
        <v>116238</v>
      </c>
      <c r="I24">
        <v>1.0371666666666599</v>
      </c>
      <c r="J24">
        <v>1.17475</v>
      </c>
      <c r="K24">
        <v>6.6299999999999998E-2</v>
      </c>
      <c r="L24">
        <v>8.0500000000000002E-2</v>
      </c>
      <c r="M24">
        <v>5.8700000000000002E-2</v>
      </c>
      <c r="N24">
        <v>1.5762711</v>
      </c>
      <c r="O24">
        <f>Table1[[#This Row],[gas_exp]]/Table1[[#This Row],[gasoline_price]]</f>
        <v>2882.853928973183</v>
      </c>
      <c r="P24">
        <f>Table1[[#This Row],[oil_exp]]/Table1[[#This Row],[heating_oil_price]]</f>
        <v>112.78995530964035</v>
      </c>
      <c r="S24">
        <v>283.531502324256</v>
      </c>
      <c r="T24">
        <v>536.89373247712399</v>
      </c>
      <c r="U24">
        <v>224</v>
      </c>
      <c r="V24">
        <v>336</v>
      </c>
      <c r="W24">
        <v>448</v>
      </c>
      <c r="X24">
        <v>246.4</v>
      </c>
      <c r="Y24">
        <v>369.6</v>
      </c>
      <c r="Z24">
        <v>492.8</v>
      </c>
      <c r="AA24">
        <v>312.89373247712399</v>
      </c>
      <c r="AB24">
        <v>200.89373247712399</v>
      </c>
      <c r="AC24">
        <v>88.893732477124402</v>
      </c>
      <c r="AD24">
        <v>290.49373247712401</v>
      </c>
      <c r="AE24">
        <v>167.293732477124</v>
      </c>
      <c r="AF24">
        <v>44.093732477124298</v>
      </c>
      <c r="AG24">
        <v>2.4392324568923802E-3</v>
      </c>
      <c r="AH24">
        <v>4.6189175009646102E-3</v>
      </c>
      <c r="AI24">
        <v>2.6918368560808299E-3</v>
      </c>
      <c r="AJ24">
        <v>1.7282965336389499E-3</v>
      </c>
      <c r="AK24">
        <v>7.6475621119706505E-4</v>
      </c>
      <c r="AL24">
        <v>2.4991287915924602E-3</v>
      </c>
      <c r="AM24">
        <v>1.43923443690638E-3</v>
      </c>
      <c r="AN24">
        <v>3.7934008222030899E-4</v>
      </c>
    </row>
    <row r="25" spans="1:40" x14ac:dyDescent="0.2">
      <c r="A25" t="s">
        <v>36</v>
      </c>
      <c r="B25">
        <v>2021</v>
      </c>
      <c r="C25" t="s">
        <v>40</v>
      </c>
      <c r="D25">
        <v>1203756</v>
      </c>
      <c r="E25">
        <v>2977</v>
      </c>
      <c r="F25">
        <v>1017</v>
      </c>
      <c r="G25">
        <v>177</v>
      </c>
      <c r="H25">
        <v>116790</v>
      </c>
      <c r="I25">
        <v>1.3430555555555499</v>
      </c>
      <c r="J25">
        <v>1.40994444444444</v>
      </c>
      <c r="K25">
        <v>8.8400000000000006E-2</v>
      </c>
      <c r="L25">
        <v>0.10730000000000001</v>
      </c>
      <c r="M25">
        <v>7.8299999999999995E-2</v>
      </c>
      <c r="N25">
        <v>2.1025898999999999</v>
      </c>
      <c r="O25">
        <f>Table1[[#This Row],[gas_exp]]/Table1[[#This Row],[gasoline_price]]</f>
        <v>2216.5873836608162</v>
      </c>
      <c r="P25">
        <f>Table1[[#This Row],[oil_exp]]/Table1[[#This Row],[heating_oil_price]]</f>
        <v>125.53686118444422</v>
      </c>
      <c r="S25">
        <v>322.10662794211601</v>
      </c>
      <c r="T25">
        <v>603.16845157920102</v>
      </c>
      <c r="U25">
        <v>300</v>
      </c>
      <c r="V25">
        <v>450</v>
      </c>
      <c r="W25">
        <v>600</v>
      </c>
      <c r="X25">
        <v>330</v>
      </c>
      <c r="Y25">
        <v>495</v>
      </c>
      <c r="Z25">
        <v>660</v>
      </c>
      <c r="AA25">
        <v>303.16845157920102</v>
      </c>
      <c r="AB25">
        <v>153.16845157920099</v>
      </c>
      <c r="AC25">
        <v>3.1684515792015802</v>
      </c>
      <c r="AD25">
        <v>273.16845157920102</v>
      </c>
      <c r="AE25">
        <v>108.168451579201</v>
      </c>
      <c r="AF25">
        <v>-56.831548420798399</v>
      </c>
      <c r="AG25">
        <v>2.7579983555280001E-3</v>
      </c>
      <c r="AH25">
        <v>5.1645556261597798E-3</v>
      </c>
      <c r="AI25">
        <v>2.5958425514102301E-3</v>
      </c>
      <c r="AJ25">
        <v>1.31148601403546E-3</v>
      </c>
      <c r="AK25" s="1">
        <v>2.7129476660686501E-5</v>
      </c>
      <c r="AL25">
        <v>2.33897124393528E-3</v>
      </c>
      <c r="AM25">
        <v>9.2617905282302803E-4</v>
      </c>
      <c r="AN25">
        <v>-4.8661313828922301E-4</v>
      </c>
    </row>
    <row r="26" spans="1:40" x14ac:dyDescent="0.2">
      <c r="A26" t="s">
        <v>36</v>
      </c>
      <c r="B26">
        <v>2022</v>
      </c>
      <c r="C26" t="s">
        <v>40</v>
      </c>
      <c r="D26">
        <v>1231275</v>
      </c>
      <c r="E26">
        <v>2788</v>
      </c>
      <c r="F26">
        <v>1138.5</v>
      </c>
      <c r="G26">
        <v>199</v>
      </c>
      <c r="H26">
        <v>123029</v>
      </c>
      <c r="I26">
        <v>1.6998888888888799</v>
      </c>
      <c r="J26">
        <v>2.18194444444444</v>
      </c>
      <c r="K26">
        <v>0.1105</v>
      </c>
      <c r="L26">
        <v>0.1341</v>
      </c>
      <c r="M26">
        <v>9.7900000000000001E-2</v>
      </c>
      <c r="N26">
        <v>2.6289087000000002</v>
      </c>
      <c r="O26">
        <f>Table1[[#This Row],[gas_exp]]/Table1[[#This Row],[gasoline_price]]</f>
        <v>1640.1071965488027</v>
      </c>
      <c r="P26">
        <f>Table1[[#This Row],[oil_exp]]/Table1[[#This Row],[heating_oil_price]]</f>
        <v>91.203055378739847</v>
      </c>
      <c r="S26">
        <v>351.19393659079498</v>
      </c>
      <c r="T26">
        <v>650.25421562654105</v>
      </c>
      <c r="U26">
        <v>373</v>
      </c>
      <c r="V26">
        <v>559</v>
      </c>
      <c r="W26">
        <v>745</v>
      </c>
      <c r="X26">
        <v>410.3</v>
      </c>
      <c r="Y26">
        <v>614.9</v>
      </c>
      <c r="Z26">
        <v>819.5</v>
      </c>
      <c r="AA26">
        <v>277.254215626541</v>
      </c>
      <c r="AB26">
        <v>91.254215626540997</v>
      </c>
      <c r="AC26">
        <v>-94.745784373458903</v>
      </c>
      <c r="AD26">
        <v>239.95421562654099</v>
      </c>
      <c r="AE26">
        <v>35.354215626540899</v>
      </c>
      <c r="AF26">
        <v>-169.245784373459</v>
      </c>
      <c r="AG26">
        <v>2.8545622299685001E-3</v>
      </c>
      <c r="AH26">
        <v>5.2853734942699699E-3</v>
      </c>
      <c r="AI26">
        <v>2.2535679849998002E-3</v>
      </c>
      <c r="AJ26">
        <v>7.4172931281682398E-4</v>
      </c>
      <c r="AK26">
        <v>-7.70109359366157E-4</v>
      </c>
      <c r="AL26">
        <v>1.9503874340727799E-3</v>
      </c>
      <c r="AM26">
        <v>2.8736489467150802E-4</v>
      </c>
      <c r="AN26">
        <v>-1.37565764472977E-3</v>
      </c>
    </row>
    <row r="27" spans="1:40" x14ac:dyDescent="0.2">
      <c r="A27" t="s">
        <v>36</v>
      </c>
      <c r="B27">
        <v>2023</v>
      </c>
      <c r="C27" t="s">
        <v>40</v>
      </c>
      <c r="D27">
        <v>1253681</v>
      </c>
      <c r="E27">
        <v>2599</v>
      </c>
      <c r="F27">
        <v>1260</v>
      </c>
      <c r="G27">
        <v>221</v>
      </c>
      <c r="H27">
        <v>129268</v>
      </c>
      <c r="I27">
        <v>1.55883333333333</v>
      </c>
      <c r="J27">
        <v>1.9092499999999999</v>
      </c>
      <c r="K27">
        <v>0.1431</v>
      </c>
      <c r="L27">
        <v>0.17380000000000001</v>
      </c>
      <c r="M27">
        <v>0.1239</v>
      </c>
      <c r="N27">
        <v>3.3270867000000002</v>
      </c>
      <c r="O27">
        <f>Table1[[#This Row],[gas_exp]]/Table1[[#This Row],[gasoline_price]]</f>
        <v>1667.2725328771553</v>
      </c>
      <c r="P27">
        <f>Table1[[#This Row],[oil_exp]]/Table1[[#This Row],[heating_oil_price]]</f>
        <v>115.75225874034307</v>
      </c>
      <c r="S27">
        <v>479.62965307719202</v>
      </c>
      <c r="T27">
        <v>872.93647960569604</v>
      </c>
      <c r="U27">
        <v>488</v>
      </c>
      <c r="V27">
        <v>732</v>
      </c>
      <c r="W27">
        <v>976</v>
      </c>
      <c r="X27">
        <v>536.79999999999995</v>
      </c>
      <c r="Y27">
        <v>805.2</v>
      </c>
      <c r="Z27">
        <v>1073.5999999999999</v>
      </c>
      <c r="AA27">
        <v>384.93647960569598</v>
      </c>
      <c r="AB27">
        <v>140.93647960569601</v>
      </c>
      <c r="AC27">
        <v>-103.063520394303</v>
      </c>
      <c r="AD27">
        <v>336.13647960569602</v>
      </c>
      <c r="AE27">
        <v>67.736479605696402</v>
      </c>
      <c r="AF27">
        <v>-200.66352039430299</v>
      </c>
      <c r="AG27">
        <v>3.7103510000711E-3</v>
      </c>
      <c r="AH27">
        <v>6.7529201318632303E-3</v>
      </c>
      <c r="AI27">
        <v>2.9778172448378199E-3</v>
      </c>
      <c r="AJ27">
        <v>1.09026580132512E-3</v>
      </c>
      <c r="AK27">
        <v>-7.9728564218757504E-4</v>
      </c>
      <c r="AL27">
        <v>2.60030695613528E-3</v>
      </c>
      <c r="AM27">
        <v>5.2400036827131497E-4</v>
      </c>
      <c r="AN27">
        <v>-1.5523062195926501E-3</v>
      </c>
    </row>
    <row r="28" spans="1:40" x14ac:dyDescent="0.2">
      <c r="A28" t="s">
        <v>36</v>
      </c>
      <c r="B28">
        <v>2024</v>
      </c>
      <c r="C28" t="s">
        <v>40</v>
      </c>
      <c r="D28">
        <v>1294338</v>
      </c>
      <c r="E28">
        <v>2599</v>
      </c>
      <c r="F28">
        <v>1260</v>
      </c>
      <c r="G28">
        <v>221</v>
      </c>
      <c r="H28">
        <v>129268</v>
      </c>
      <c r="I28">
        <v>1.56883333333333</v>
      </c>
      <c r="J28">
        <v>1.6484722222222199</v>
      </c>
      <c r="K28">
        <v>0.17610000000000001</v>
      </c>
      <c r="L28">
        <v>0.21390000000000001</v>
      </c>
      <c r="M28">
        <v>0.1525</v>
      </c>
      <c r="N28">
        <v>4.0950825000000002</v>
      </c>
      <c r="O28">
        <f>Table1[[#This Row],[gas_exp]]/Table1[[#This Row],[gasoline_price]]</f>
        <v>1656.6450653351783</v>
      </c>
      <c r="P28">
        <f>Table1[[#This Row],[oil_exp]]/Table1[[#This Row],[heating_oil_price]]</f>
        <v>134.06352683461137</v>
      </c>
      <c r="S28">
        <v>592.33305256044696</v>
      </c>
      <c r="T28">
        <v>1059.3821841254401</v>
      </c>
      <c r="U28">
        <v>560</v>
      </c>
      <c r="V28">
        <v>840</v>
      </c>
      <c r="W28">
        <v>1120</v>
      </c>
      <c r="X28">
        <v>672</v>
      </c>
      <c r="Y28">
        <v>1008</v>
      </c>
      <c r="Z28">
        <v>1344</v>
      </c>
      <c r="AA28">
        <v>499.38218412544001</v>
      </c>
      <c r="AB28">
        <v>219.38218412544001</v>
      </c>
      <c r="AC28">
        <v>-60.617815874559199</v>
      </c>
      <c r="AD28">
        <v>387.38218412544001</v>
      </c>
      <c r="AE28">
        <v>51.382184125440702</v>
      </c>
      <c r="AF28">
        <v>-284.61781587455903</v>
      </c>
      <c r="AG28">
        <v>4.5822094606588403E-3</v>
      </c>
      <c r="AH28">
        <v>8.19523922490825E-3</v>
      </c>
      <c r="AI28">
        <v>3.8631539447151701E-3</v>
      </c>
      <c r="AJ28">
        <v>1.6971113046186201E-3</v>
      </c>
      <c r="AK28">
        <v>-4.6893133547791602E-4</v>
      </c>
      <c r="AL28">
        <v>2.9967368886765502E-3</v>
      </c>
      <c r="AM28">
        <v>3.97485720560701E-4</v>
      </c>
      <c r="AN28">
        <v>-2.2017654475551501E-3</v>
      </c>
    </row>
    <row r="29" spans="1:40" x14ac:dyDescent="0.2">
      <c r="A29" t="s">
        <v>36</v>
      </c>
      <c r="B29">
        <v>2025</v>
      </c>
      <c r="C29" t="s">
        <v>40</v>
      </c>
      <c r="D29">
        <v>1294338</v>
      </c>
      <c r="E29">
        <v>2599</v>
      </c>
      <c r="F29">
        <v>1260</v>
      </c>
      <c r="G29">
        <v>221</v>
      </c>
      <c r="H29">
        <v>129268</v>
      </c>
      <c r="I29">
        <v>1.39052777777777</v>
      </c>
      <c r="J29">
        <v>1.57161111111111</v>
      </c>
      <c r="K29">
        <v>0</v>
      </c>
      <c r="L29">
        <v>0</v>
      </c>
      <c r="M29">
        <v>0</v>
      </c>
      <c r="N29">
        <v>0</v>
      </c>
      <c r="O29">
        <f>Table1[[#This Row],[gas_exp]]/Table1[[#This Row],[gasoline_price]]</f>
        <v>1869.0744920993332</v>
      </c>
      <c r="P29">
        <f>Table1[[#This Row],[oil_exp]]/Table1[[#This Row],[heating_oil_price]]</f>
        <v>140.62002898653196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</row>
    <row r="30" spans="1:40" x14ac:dyDescent="0.2">
      <c r="A30" t="s">
        <v>36</v>
      </c>
      <c r="B30">
        <v>2019</v>
      </c>
      <c r="C30" t="s">
        <v>41</v>
      </c>
      <c r="D30">
        <v>1241804</v>
      </c>
      <c r="E30">
        <v>3609</v>
      </c>
      <c r="F30">
        <v>1151</v>
      </c>
      <c r="G30">
        <v>228</v>
      </c>
      <c r="H30">
        <v>189998</v>
      </c>
      <c r="I30">
        <v>1.2092499999999999</v>
      </c>
      <c r="J30">
        <v>1.3276666666666599</v>
      </c>
      <c r="K30">
        <v>4.4200000000000003E-2</v>
      </c>
      <c r="L30">
        <v>5.3699999999999998E-2</v>
      </c>
      <c r="M30">
        <v>3.9100000000000003E-2</v>
      </c>
      <c r="N30">
        <v>1.0499522999999999</v>
      </c>
      <c r="O30">
        <f>Table1[[#This Row],[gas_exp]]/Table1[[#This Row],[gasoline_price]]</f>
        <v>2984.4945213975607</v>
      </c>
      <c r="P30">
        <f>Table1[[#This Row],[oil_exp]]/Table1[[#This Row],[heating_oil_price]]</f>
        <v>171.72985187045029</v>
      </c>
      <c r="S30">
        <v>204.82424251892499</v>
      </c>
      <c r="T30">
        <v>392.15965228068501</v>
      </c>
      <c r="U30">
        <v>154</v>
      </c>
      <c r="V30">
        <v>231</v>
      </c>
      <c r="W30">
        <v>307</v>
      </c>
      <c r="X30">
        <v>169.4</v>
      </c>
      <c r="Y30">
        <v>254.1</v>
      </c>
      <c r="Z30">
        <v>337.7</v>
      </c>
      <c r="AA30">
        <v>238.15965228068501</v>
      </c>
      <c r="AB30">
        <v>161.15965228068501</v>
      </c>
      <c r="AC30">
        <v>85.159652280685194</v>
      </c>
      <c r="AD30">
        <v>222.759652280685</v>
      </c>
      <c r="AE30">
        <v>138.05965228068499</v>
      </c>
      <c r="AF30">
        <v>54.459652280685098</v>
      </c>
      <c r="AG30">
        <v>1.0780336767698801E-3</v>
      </c>
      <c r="AH30">
        <v>2.0640198964235598E-3</v>
      </c>
      <c r="AI30">
        <v>1.25348504868832E-3</v>
      </c>
      <c r="AJ30">
        <v>8.4821762482070902E-4</v>
      </c>
      <c r="AK30">
        <v>4.48213414250072E-4</v>
      </c>
      <c r="AL30">
        <v>1.1724315639148001E-3</v>
      </c>
      <c r="AM30">
        <v>7.2663739766042296E-4</v>
      </c>
      <c r="AN30">
        <v>2.86632766032722E-4</v>
      </c>
    </row>
    <row r="31" spans="1:40" x14ac:dyDescent="0.2">
      <c r="A31" t="s">
        <v>36</v>
      </c>
      <c r="B31">
        <v>2020</v>
      </c>
      <c r="C31" t="s">
        <v>41</v>
      </c>
      <c r="D31">
        <v>1240126</v>
      </c>
      <c r="E31">
        <v>3206.5</v>
      </c>
      <c r="F31">
        <v>1208</v>
      </c>
      <c r="G31">
        <v>231</v>
      </c>
      <c r="H31">
        <v>191006</v>
      </c>
      <c r="I31">
        <v>1.0371666666666599</v>
      </c>
      <c r="J31">
        <v>1.17475</v>
      </c>
      <c r="K31">
        <v>6.6299999999999998E-2</v>
      </c>
      <c r="L31">
        <v>8.0500000000000002E-2</v>
      </c>
      <c r="M31">
        <v>5.8700000000000002E-2</v>
      </c>
      <c r="N31">
        <v>1.5762711</v>
      </c>
      <c r="O31">
        <f>Table1[[#This Row],[gas_exp]]/Table1[[#This Row],[gasoline_price]]</f>
        <v>3091.5956933954885</v>
      </c>
      <c r="P31">
        <f>Table1[[#This Row],[oil_exp]]/Table1[[#This Row],[heating_oil_price]]</f>
        <v>196.63758246435413</v>
      </c>
      <c r="S31">
        <v>321.15006012025998</v>
      </c>
      <c r="T31">
        <v>608.12803180519097</v>
      </c>
      <c r="U31">
        <v>224</v>
      </c>
      <c r="V31">
        <v>336</v>
      </c>
      <c r="W31">
        <v>448</v>
      </c>
      <c r="X31">
        <v>246.4</v>
      </c>
      <c r="Y31">
        <v>369.6</v>
      </c>
      <c r="Z31">
        <v>492.8</v>
      </c>
      <c r="AA31">
        <v>384.12803180519097</v>
      </c>
      <c r="AB31">
        <v>272.12803180519097</v>
      </c>
      <c r="AC31">
        <v>160.128031805191</v>
      </c>
      <c r="AD31">
        <v>361.72803180519099</v>
      </c>
      <c r="AE31">
        <v>238.52803180519101</v>
      </c>
      <c r="AF31">
        <v>115.328031805191</v>
      </c>
      <c r="AG31">
        <v>1.6813611097047201E-3</v>
      </c>
      <c r="AH31">
        <v>3.1838163817115199E-3</v>
      </c>
      <c r="AI31">
        <v>2.0110783525396601E-3</v>
      </c>
      <c r="AJ31">
        <v>1.42470933795373E-3</v>
      </c>
      <c r="AK31">
        <v>8.3834032336780598E-4</v>
      </c>
      <c r="AL31">
        <v>1.8938045496224699E-3</v>
      </c>
      <c r="AM31">
        <v>1.2487986335779501E-3</v>
      </c>
      <c r="AN31">
        <v>6.0379271753343395E-4</v>
      </c>
    </row>
    <row r="32" spans="1:40" x14ac:dyDescent="0.2">
      <c r="A32" t="s">
        <v>36</v>
      </c>
      <c r="B32">
        <v>2021</v>
      </c>
      <c r="C32" t="s">
        <v>41</v>
      </c>
      <c r="D32">
        <v>1234204</v>
      </c>
      <c r="E32">
        <v>2804</v>
      </c>
      <c r="F32">
        <v>1265</v>
      </c>
      <c r="G32">
        <v>234</v>
      </c>
      <c r="H32">
        <v>192014</v>
      </c>
      <c r="I32">
        <v>1.3430555555555499</v>
      </c>
      <c r="J32">
        <v>1.40994444444444</v>
      </c>
      <c r="K32">
        <v>8.8400000000000006E-2</v>
      </c>
      <c r="L32">
        <v>0.10730000000000001</v>
      </c>
      <c r="M32">
        <v>7.8299999999999995E-2</v>
      </c>
      <c r="N32">
        <v>2.1025898999999999</v>
      </c>
      <c r="O32">
        <f>Table1[[#This Row],[gas_exp]]/Table1[[#This Row],[gasoline_price]]</f>
        <v>2087.7766287487161</v>
      </c>
      <c r="P32">
        <f>Table1[[#This Row],[oil_exp]]/Table1[[#This Row],[heating_oil_price]]</f>
        <v>165.96398597265508</v>
      </c>
      <c r="S32">
        <v>342.53759665470102</v>
      </c>
      <c r="T32">
        <v>641.42694952245904</v>
      </c>
      <c r="U32">
        <v>300</v>
      </c>
      <c r="V32">
        <v>450</v>
      </c>
      <c r="W32">
        <v>600</v>
      </c>
      <c r="X32">
        <v>330</v>
      </c>
      <c r="Y32">
        <v>495</v>
      </c>
      <c r="Z32">
        <v>660</v>
      </c>
      <c r="AA32">
        <v>341.42694952245898</v>
      </c>
      <c r="AB32">
        <v>191.42694952245901</v>
      </c>
      <c r="AC32">
        <v>41.4269495224598</v>
      </c>
      <c r="AD32">
        <v>311.42694952245898</v>
      </c>
      <c r="AE32">
        <v>146.42694952245901</v>
      </c>
      <c r="AF32">
        <v>-18.5730504775401</v>
      </c>
      <c r="AG32">
        <v>1.7839199050834901E-3</v>
      </c>
      <c r="AH32">
        <v>3.3405217823828399E-3</v>
      </c>
      <c r="AI32">
        <v>1.7781357063675501E-3</v>
      </c>
      <c r="AJ32">
        <v>9.9694266835990996E-4</v>
      </c>
      <c r="AK32">
        <v>2.1574963035226501E-4</v>
      </c>
      <c r="AL32">
        <v>1.6218970987660201E-3</v>
      </c>
      <c r="AM32">
        <v>7.6258475695761602E-4</v>
      </c>
      <c r="AN32" s="1">
        <v>-9.6727584850792901E-5</v>
      </c>
    </row>
    <row r="33" spans="1:40" x14ac:dyDescent="0.2">
      <c r="A33" t="s">
        <v>36</v>
      </c>
      <c r="B33">
        <v>2022</v>
      </c>
      <c r="C33" t="s">
        <v>41</v>
      </c>
      <c r="D33">
        <v>1252949</v>
      </c>
      <c r="E33">
        <v>2906.5</v>
      </c>
      <c r="F33">
        <v>1416</v>
      </c>
      <c r="G33">
        <v>259.5</v>
      </c>
      <c r="H33">
        <v>218788</v>
      </c>
      <c r="I33">
        <v>1.6998888888888799</v>
      </c>
      <c r="J33">
        <v>2.18194444444444</v>
      </c>
      <c r="K33">
        <v>0.1105</v>
      </c>
      <c r="L33">
        <v>0.1341</v>
      </c>
      <c r="M33">
        <v>9.7900000000000001E-2</v>
      </c>
      <c r="N33">
        <v>2.6289087000000002</v>
      </c>
      <c r="O33">
        <f>Table1[[#This Row],[gas_exp]]/Table1[[#This Row],[gasoline_price]]</f>
        <v>1709.8176351395607</v>
      </c>
      <c r="P33">
        <f>Table1[[#This Row],[oil_exp]]/Table1[[#This Row],[heating_oil_price]]</f>
        <v>118.93061744112055</v>
      </c>
      <c r="S33">
        <v>401.06102418361399</v>
      </c>
      <c r="T33">
        <v>742.58577534259302</v>
      </c>
      <c r="U33">
        <v>373</v>
      </c>
      <c r="V33">
        <v>559</v>
      </c>
      <c r="W33">
        <v>745</v>
      </c>
      <c r="X33">
        <v>410.3</v>
      </c>
      <c r="Y33">
        <v>614.9</v>
      </c>
      <c r="Z33">
        <v>819.5</v>
      </c>
      <c r="AA33">
        <v>369.58577534259302</v>
      </c>
      <c r="AB33">
        <v>183.585775342593</v>
      </c>
      <c r="AC33">
        <v>-2.4142246574067401</v>
      </c>
      <c r="AD33">
        <v>332.28577534259301</v>
      </c>
      <c r="AE33">
        <v>127.685775342593</v>
      </c>
      <c r="AF33">
        <v>-76.914224657406805</v>
      </c>
      <c r="AG33">
        <v>1.83310338859359E-3</v>
      </c>
      <c r="AH33">
        <v>3.3940882285252898E-3</v>
      </c>
      <c r="AI33">
        <v>1.6892415276093401E-3</v>
      </c>
      <c r="AJ33">
        <v>8.3910349444481897E-4</v>
      </c>
      <c r="AK33" s="1">
        <v>-1.10345387197046E-5</v>
      </c>
      <c r="AL33">
        <v>1.51875685751774E-3</v>
      </c>
      <c r="AM33">
        <v>5.8360502103677102E-4</v>
      </c>
      <c r="AN33">
        <v>-3.51546815444205E-4</v>
      </c>
    </row>
    <row r="34" spans="1:40" x14ac:dyDescent="0.2">
      <c r="A34" t="s">
        <v>36</v>
      </c>
      <c r="B34">
        <v>2023</v>
      </c>
      <c r="C34" t="s">
        <v>41</v>
      </c>
      <c r="D34">
        <v>1281498</v>
      </c>
      <c r="E34">
        <v>3009</v>
      </c>
      <c r="F34">
        <v>1567</v>
      </c>
      <c r="G34">
        <v>285</v>
      </c>
      <c r="H34">
        <v>245562</v>
      </c>
      <c r="I34">
        <v>1.55883333333333</v>
      </c>
      <c r="J34">
        <v>1.9092499999999999</v>
      </c>
      <c r="K34">
        <v>0.1431</v>
      </c>
      <c r="L34">
        <v>0.17380000000000001</v>
      </c>
      <c r="M34">
        <v>0.1239</v>
      </c>
      <c r="N34">
        <v>3.3270867000000002</v>
      </c>
      <c r="O34">
        <f>Table1[[#This Row],[gas_exp]]/Table1[[#This Row],[gasoline_price]]</f>
        <v>1930.2897466053714</v>
      </c>
      <c r="P34">
        <f>Table1[[#This Row],[oil_exp]]/Table1[[#This Row],[heating_oil_price]]</f>
        <v>149.27327484614378</v>
      </c>
      <c r="S34">
        <v>576.921971971517</v>
      </c>
      <c r="T34">
        <v>1050.0106321385799</v>
      </c>
      <c r="U34">
        <v>488</v>
      </c>
      <c r="V34">
        <v>732</v>
      </c>
      <c r="W34">
        <v>976</v>
      </c>
      <c r="X34">
        <v>536.79999999999995</v>
      </c>
      <c r="Y34">
        <v>805.2</v>
      </c>
      <c r="Z34">
        <v>1073.5999999999999</v>
      </c>
      <c r="AA34">
        <v>562.01063213858504</v>
      </c>
      <c r="AB34">
        <v>318.01063213858498</v>
      </c>
      <c r="AC34">
        <v>74.010632138585805</v>
      </c>
      <c r="AD34">
        <v>513.21063213858497</v>
      </c>
      <c r="AE34">
        <v>244.81063213858499</v>
      </c>
      <c r="AF34">
        <v>-23.589367861414299</v>
      </c>
      <c r="AG34">
        <v>2.3493943361412501E-3</v>
      </c>
      <c r="AH34">
        <v>4.2759491783687402E-3</v>
      </c>
      <c r="AI34">
        <v>2.2886710164381498E-3</v>
      </c>
      <c r="AJ34">
        <v>1.2950319354728501E-3</v>
      </c>
      <c r="AK34">
        <v>3.01392854507561E-4</v>
      </c>
      <c r="AL34">
        <v>2.08994320024509E-3</v>
      </c>
      <c r="AM34">
        <v>9.969402111832679E-4</v>
      </c>
      <c r="AN34" s="1">
        <v>-9.6062777878557306E-5</v>
      </c>
    </row>
    <row r="35" spans="1:40" x14ac:dyDescent="0.2">
      <c r="A35" t="s">
        <v>36</v>
      </c>
      <c r="B35">
        <v>2024</v>
      </c>
      <c r="C35" t="s">
        <v>41</v>
      </c>
      <c r="D35">
        <v>1323606</v>
      </c>
      <c r="E35">
        <v>3009</v>
      </c>
      <c r="F35">
        <v>1567</v>
      </c>
      <c r="G35">
        <v>285</v>
      </c>
      <c r="H35">
        <v>245562</v>
      </c>
      <c r="I35">
        <v>1.56883333333333</v>
      </c>
      <c r="J35">
        <v>1.6484722222222199</v>
      </c>
      <c r="K35">
        <v>0.17610000000000001</v>
      </c>
      <c r="L35">
        <v>0.21390000000000001</v>
      </c>
      <c r="M35">
        <v>0.1525</v>
      </c>
      <c r="N35">
        <v>4.0950825000000002</v>
      </c>
      <c r="O35">
        <f>Table1[[#This Row],[gas_exp]]/Table1[[#This Row],[gasoline_price]]</f>
        <v>1917.9857643684309</v>
      </c>
      <c r="P35">
        <f>Table1[[#This Row],[oil_exp]]/Table1[[#This Row],[heating_oil_price]]</f>
        <v>172.88735361024541</v>
      </c>
      <c r="S35">
        <v>712.91349646676099</v>
      </c>
      <c r="T35">
        <v>1275.0391924185001</v>
      </c>
      <c r="U35">
        <v>560</v>
      </c>
      <c r="V35">
        <v>840</v>
      </c>
      <c r="W35">
        <v>1120</v>
      </c>
      <c r="X35">
        <v>672</v>
      </c>
      <c r="Y35">
        <v>1008</v>
      </c>
      <c r="Z35">
        <v>1344</v>
      </c>
      <c r="AA35">
        <v>715.03919241850701</v>
      </c>
      <c r="AB35">
        <v>435.03919241850701</v>
      </c>
      <c r="AC35">
        <v>155.03919241850701</v>
      </c>
      <c r="AD35">
        <v>603.03919241850701</v>
      </c>
      <c r="AE35">
        <v>267.03919241850701</v>
      </c>
      <c r="AF35">
        <v>-68.960807581492602</v>
      </c>
      <c r="AG35">
        <v>2.90319144031552E-3</v>
      </c>
      <c r="AH35">
        <v>5.1923310301207302E-3</v>
      </c>
      <c r="AI35">
        <v>2.9118478934790598E-3</v>
      </c>
      <c r="AJ35">
        <v>1.77160632515823E-3</v>
      </c>
      <c r="AK35">
        <v>6.3136475683740702E-4</v>
      </c>
      <c r="AL35">
        <v>2.4557512661507299E-3</v>
      </c>
      <c r="AM35">
        <v>1.0874613841657299E-3</v>
      </c>
      <c r="AN35">
        <v>-2.8082849781925799E-4</v>
      </c>
    </row>
    <row r="36" spans="1:40" x14ac:dyDescent="0.2">
      <c r="A36" t="s">
        <v>36</v>
      </c>
      <c r="B36">
        <v>2025</v>
      </c>
      <c r="C36" t="s">
        <v>41</v>
      </c>
      <c r="D36">
        <v>1323606</v>
      </c>
      <c r="E36">
        <v>3009</v>
      </c>
      <c r="F36">
        <v>1567</v>
      </c>
      <c r="G36">
        <v>285</v>
      </c>
      <c r="H36">
        <v>245562</v>
      </c>
      <c r="I36">
        <v>1.39052777777777</v>
      </c>
      <c r="J36">
        <v>1.57161111111111</v>
      </c>
      <c r="K36">
        <v>0</v>
      </c>
      <c r="L36">
        <v>0</v>
      </c>
      <c r="M36">
        <v>0</v>
      </c>
      <c r="N36">
        <v>0</v>
      </c>
      <c r="O36">
        <f>Table1[[#This Row],[gas_exp]]/Table1[[#This Row],[gasoline_price]]</f>
        <v>2163.9265666513634</v>
      </c>
      <c r="P36">
        <f>Table1[[#This Row],[oil_exp]]/Table1[[#This Row],[heating_oil_price]]</f>
        <v>181.34257131747336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</row>
    <row r="37" spans="1:40" x14ac:dyDescent="0.2">
      <c r="A37" t="s">
        <v>42</v>
      </c>
      <c r="B37">
        <v>2019</v>
      </c>
      <c r="C37" t="s">
        <v>37</v>
      </c>
      <c r="D37">
        <v>95302</v>
      </c>
      <c r="E37">
        <v>1067</v>
      </c>
      <c r="F37">
        <v>191</v>
      </c>
      <c r="H37">
        <v>38514</v>
      </c>
      <c r="I37">
        <v>1.09033333333333</v>
      </c>
      <c r="J37">
        <v>1.1459999999999999</v>
      </c>
      <c r="K37">
        <v>4.4200000000000003E-2</v>
      </c>
      <c r="L37">
        <v>5.3699999999999998E-2</v>
      </c>
      <c r="M37">
        <v>3.9100000000000003E-2</v>
      </c>
      <c r="N37">
        <v>1.0499522999999999</v>
      </c>
      <c r="O37">
        <f>Table1[[#This Row],[gas_exp]]/Table1[[#This Row],[gasoline_price]]</f>
        <v>978.59981656985929</v>
      </c>
      <c r="P37">
        <f>Table1[[#This Row],[oil_exp]]/Table1[[#This Row],[heating_oil_price]]</f>
        <v>0</v>
      </c>
      <c r="S37">
        <v>54.504455782117603</v>
      </c>
      <c r="T37">
        <v>127.35631214940901</v>
      </c>
      <c r="U37">
        <v>170</v>
      </c>
      <c r="V37">
        <v>255</v>
      </c>
      <c r="W37">
        <v>339</v>
      </c>
      <c r="X37">
        <v>187</v>
      </c>
      <c r="Y37">
        <v>280.5</v>
      </c>
      <c r="Z37">
        <v>372.9</v>
      </c>
      <c r="AA37">
        <v>-42.643687850590503</v>
      </c>
      <c r="AB37">
        <v>-127.64368785059</v>
      </c>
      <c r="AC37">
        <v>-211.64368785059</v>
      </c>
      <c r="AD37">
        <v>-59.643687850590503</v>
      </c>
      <c r="AE37">
        <v>-153.14368785059</v>
      </c>
      <c r="AF37">
        <v>-245.54368785059</v>
      </c>
      <c r="AG37">
        <v>1.4151855372622299E-3</v>
      </c>
      <c r="AH37">
        <v>3.3067537038326102E-3</v>
      </c>
      <c r="AI37">
        <v>-1.10722562835827E-3</v>
      </c>
      <c r="AJ37">
        <v>-3.3142152944537098E-3</v>
      </c>
      <c r="AK37">
        <v>-5.49524037624216E-3</v>
      </c>
      <c r="AL37">
        <v>-1.54862356157736E-3</v>
      </c>
      <c r="AM37">
        <v>-3.9763121942823498E-3</v>
      </c>
      <c r="AN37">
        <v>-6.3754397842496298E-3</v>
      </c>
    </row>
    <row r="38" spans="1:40" x14ac:dyDescent="0.2">
      <c r="A38" t="s">
        <v>42</v>
      </c>
      <c r="B38">
        <v>2020</v>
      </c>
      <c r="C38" t="s">
        <v>37</v>
      </c>
      <c r="D38">
        <v>103788</v>
      </c>
      <c r="E38">
        <v>1110</v>
      </c>
      <c r="F38">
        <v>197</v>
      </c>
      <c r="H38">
        <v>38633</v>
      </c>
      <c r="I38">
        <v>0.93674999999999997</v>
      </c>
      <c r="J38">
        <v>0.95808333333333295</v>
      </c>
      <c r="K38">
        <v>6.6299999999999998E-2</v>
      </c>
      <c r="L38">
        <v>8.0500000000000002E-2</v>
      </c>
      <c r="M38">
        <v>5.8700000000000002E-2</v>
      </c>
      <c r="N38">
        <v>1.5762711</v>
      </c>
      <c r="O38">
        <f>Table1[[#This Row],[gas_exp]]/Table1[[#This Row],[gasoline_price]]</f>
        <v>1184.9479583666935</v>
      </c>
      <c r="P38">
        <f>Table1[[#This Row],[oil_exp]]/Table1[[#This Row],[heating_oil_price]]</f>
        <v>0</v>
      </c>
      <c r="S38">
        <v>95.982524955581695</v>
      </c>
      <c r="T38">
        <v>213.837838010002</v>
      </c>
      <c r="U38">
        <v>243</v>
      </c>
      <c r="V38">
        <v>364</v>
      </c>
      <c r="W38">
        <v>486</v>
      </c>
      <c r="X38">
        <v>267.3</v>
      </c>
      <c r="Y38">
        <v>400.4</v>
      </c>
      <c r="Z38">
        <v>534.6</v>
      </c>
      <c r="AA38">
        <v>-29.162161989997301</v>
      </c>
      <c r="AB38">
        <v>-150.162161989997</v>
      </c>
      <c r="AC38">
        <v>-272.162161989997</v>
      </c>
      <c r="AD38">
        <v>-53.462161989997298</v>
      </c>
      <c r="AE38">
        <v>-186.56216198999701</v>
      </c>
      <c r="AF38">
        <v>-320.76216198999703</v>
      </c>
      <c r="AG38">
        <v>2.4844698821106701E-3</v>
      </c>
      <c r="AH38">
        <v>5.5351082755675804E-3</v>
      </c>
      <c r="AI38">
        <v>-7.5485108560032399E-4</v>
      </c>
      <c r="AJ38">
        <v>-3.8868884629719999E-3</v>
      </c>
      <c r="AK38">
        <v>-7.0448104467682304E-3</v>
      </c>
      <c r="AL38">
        <v>-1.38384702171711E-3</v>
      </c>
      <c r="AM38">
        <v>-4.8290881368259599E-3</v>
      </c>
      <c r="AN38">
        <v>-8.3028023190018195E-3</v>
      </c>
    </row>
    <row r="39" spans="1:40" x14ac:dyDescent="0.2">
      <c r="A39" t="s">
        <v>42</v>
      </c>
      <c r="B39">
        <v>2021</v>
      </c>
      <c r="C39" t="s">
        <v>37</v>
      </c>
      <c r="D39">
        <v>102295</v>
      </c>
      <c r="E39">
        <v>1153</v>
      </c>
      <c r="F39">
        <v>203</v>
      </c>
      <c r="H39">
        <v>38752</v>
      </c>
      <c r="I39">
        <v>1.25941666666666</v>
      </c>
      <c r="J39">
        <v>1.1819166666666601</v>
      </c>
      <c r="K39">
        <v>8.8400000000000006E-2</v>
      </c>
      <c r="L39">
        <v>0.10730000000000001</v>
      </c>
      <c r="M39">
        <v>7.8299999999999995E-2</v>
      </c>
      <c r="N39">
        <v>2.1025898999999999</v>
      </c>
      <c r="O39">
        <f>Table1[[#This Row],[gas_exp]]/Table1[[#This Row],[gasoline_price]]</f>
        <v>915.50320915768373</v>
      </c>
      <c r="P39">
        <f>Table1[[#This Row],[oil_exp]]/Table1[[#This Row],[heating_oil_price]]</f>
        <v>0</v>
      </c>
      <c r="S39">
        <v>104.87540824770799</v>
      </c>
      <c r="T39">
        <v>222.24609408752499</v>
      </c>
      <c r="U39">
        <v>360</v>
      </c>
      <c r="V39">
        <v>540</v>
      </c>
      <c r="W39">
        <v>720</v>
      </c>
      <c r="X39">
        <v>396</v>
      </c>
      <c r="Y39">
        <v>594</v>
      </c>
      <c r="Z39">
        <v>792</v>
      </c>
      <c r="AA39">
        <v>-137.75390591247401</v>
      </c>
      <c r="AB39">
        <v>-317.75390591247401</v>
      </c>
      <c r="AC39">
        <v>-497.75390591247401</v>
      </c>
      <c r="AD39">
        <v>-173.75390591247401</v>
      </c>
      <c r="AE39">
        <v>-371.75390591247401</v>
      </c>
      <c r="AF39">
        <v>-569.75390591247401</v>
      </c>
      <c r="AG39">
        <v>2.7063224671683701E-3</v>
      </c>
      <c r="AH39">
        <v>5.7350870687325802E-3</v>
      </c>
      <c r="AI39">
        <v>-3.5547560361394101E-3</v>
      </c>
      <c r="AJ39">
        <v>-8.19967758857542E-3</v>
      </c>
      <c r="AK39">
        <v>-1.28445991410114E-2</v>
      </c>
      <c r="AL39">
        <v>-4.4837403466266197E-3</v>
      </c>
      <c r="AM39">
        <v>-9.5931540543062205E-3</v>
      </c>
      <c r="AN39">
        <v>-1.4702567761985801E-2</v>
      </c>
    </row>
    <row r="40" spans="1:40" x14ac:dyDescent="0.2">
      <c r="A40" t="s">
        <v>42</v>
      </c>
      <c r="B40">
        <v>2022</v>
      </c>
      <c r="C40" t="s">
        <v>37</v>
      </c>
      <c r="D40">
        <v>103495</v>
      </c>
      <c r="E40">
        <v>1153</v>
      </c>
      <c r="F40">
        <v>213</v>
      </c>
      <c r="H40">
        <v>38416.5</v>
      </c>
      <c r="I40">
        <v>1.70891666666666</v>
      </c>
      <c r="J40">
        <v>1.7853333333333301</v>
      </c>
      <c r="K40">
        <v>0.1105</v>
      </c>
      <c r="L40">
        <v>0.1341</v>
      </c>
      <c r="M40">
        <v>9.7900000000000001E-2</v>
      </c>
      <c r="N40">
        <v>2.6289087000000002</v>
      </c>
      <c r="O40">
        <f>Table1[[#This Row],[gas_exp]]/Table1[[#This Row],[gasoline_price]]</f>
        <v>674.6964451163044</v>
      </c>
      <c r="P40">
        <f>Table1[[#This Row],[oil_exp]]/Table1[[#This Row],[heating_oil_price]]</f>
        <v>0</v>
      </c>
      <c r="S40">
        <v>105.967575914261</v>
      </c>
      <c r="T40">
        <v>213.03774578989501</v>
      </c>
      <c r="U40">
        <v>416</v>
      </c>
      <c r="V40">
        <v>624</v>
      </c>
      <c r="W40">
        <v>832</v>
      </c>
      <c r="X40">
        <v>457.6</v>
      </c>
      <c r="Y40">
        <v>686.4</v>
      </c>
      <c r="Z40">
        <v>915.2</v>
      </c>
      <c r="AA40">
        <v>-202.96225421010399</v>
      </c>
      <c r="AB40">
        <v>-410.96225421010399</v>
      </c>
      <c r="AC40">
        <v>-618.96225421010399</v>
      </c>
      <c r="AD40">
        <v>-244.56225421010399</v>
      </c>
      <c r="AE40">
        <v>-473.36225421010403</v>
      </c>
      <c r="AF40">
        <v>-702.16225421010404</v>
      </c>
      <c r="AG40">
        <v>2.75838704500049E-3</v>
      </c>
      <c r="AH40">
        <v>5.5454751419284796E-3</v>
      </c>
      <c r="AI40">
        <v>-5.2832052428020302E-3</v>
      </c>
      <c r="AJ40">
        <v>-1.06975454351672E-2</v>
      </c>
      <c r="AK40">
        <v>-1.6111885627532501E-2</v>
      </c>
      <c r="AL40">
        <v>-6.3660732812750899E-3</v>
      </c>
      <c r="AM40">
        <v>-1.23218474928768E-2</v>
      </c>
      <c r="AN40">
        <v>-1.8277621704478601E-2</v>
      </c>
    </row>
    <row r="41" spans="1:40" x14ac:dyDescent="0.2">
      <c r="A41" t="s">
        <v>42</v>
      </c>
      <c r="B41">
        <v>2023</v>
      </c>
      <c r="C41" t="s">
        <v>37</v>
      </c>
      <c r="D41">
        <v>79967</v>
      </c>
      <c r="E41">
        <v>1153</v>
      </c>
      <c r="F41">
        <v>223</v>
      </c>
      <c r="H41">
        <v>38081</v>
      </c>
      <c r="I41">
        <v>1.5527500000000001</v>
      </c>
      <c r="J41">
        <v>1.5549166666666601</v>
      </c>
      <c r="K41">
        <v>0.1431</v>
      </c>
      <c r="L41">
        <v>0.17380000000000001</v>
      </c>
      <c r="M41">
        <v>0.1239</v>
      </c>
      <c r="N41">
        <v>3.3270867000000002</v>
      </c>
      <c r="O41">
        <f>Table1[[#This Row],[gas_exp]]/Table1[[#This Row],[gasoline_price]]</f>
        <v>742.55353405248752</v>
      </c>
      <c r="P41">
        <f>Table1[[#This Row],[oil_exp]]/Table1[[#This Row],[heating_oil_price]]</f>
        <v>0</v>
      </c>
      <c r="S41">
        <v>147.88226346592</v>
      </c>
      <c r="T41">
        <v>273.18238823838601</v>
      </c>
      <c r="U41">
        <v>528</v>
      </c>
      <c r="V41">
        <v>792</v>
      </c>
      <c r="W41">
        <v>1056</v>
      </c>
      <c r="X41">
        <v>580.79999999999995</v>
      </c>
      <c r="Y41">
        <v>871.2</v>
      </c>
      <c r="Z41">
        <v>1161.5999999999999</v>
      </c>
      <c r="AA41">
        <v>-254.81761176161299</v>
      </c>
      <c r="AB41">
        <v>-518.81761176161297</v>
      </c>
      <c r="AC41">
        <v>-782.81761176161297</v>
      </c>
      <c r="AD41">
        <v>-307.61761176161298</v>
      </c>
      <c r="AE41">
        <v>-598.01761176161301</v>
      </c>
      <c r="AF41">
        <v>-888.41761176161299</v>
      </c>
      <c r="AG41">
        <v>3.8833608220876798E-3</v>
      </c>
      <c r="AH41">
        <v>7.1737188686848202E-3</v>
      </c>
      <c r="AI41">
        <v>-6.6914632431294601E-3</v>
      </c>
      <c r="AJ41">
        <v>-1.3624054299036599E-2</v>
      </c>
      <c r="AK41">
        <v>-2.0556645354943701E-2</v>
      </c>
      <c r="AL41">
        <v>-8.0779814543108907E-3</v>
      </c>
      <c r="AM41">
        <v>-1.5703831615808701E-2</v>
      </c>
      <c r="AN41">
        <v>-2.3329681777306599E-2</v>
      </c>
    </row>
    <row r="42" spans="1:40" x14ac:dyDescent="0.2">
      <c r="A42" t="s">
        <v>42</v>
      </c>
      <c r="B42">
        <v>2024</v>
      </c>
      <c r="C42" t="s">
        <v>37</v>
      </c>
      <c r="D42">
        <v>100887</v>
      </c>
      <c r="E42">
        <v>1153</v>
      </c>
      <c r="F42">
        <v>223</v>
      </c>
      <c r="H42">
        <v>38081</v>
      </c>
      <c r="I42">
        <v>1.34116666666666</v>
      </c>
      <c r="J42">
        <v>1.3398333333333301</v>
      </c>
      <c r="K42">
        <v>0.17610000000000001</v>
      </c>
      <c r="L42">
        <v>0.21390000000000001</v>
      </c>
      <c r="M42">
        <v>0.1525</v>
      </c>
      <c r="N42">
        <v>4.0950825000000002</v>
      </c>
      <c r="O42">
        <f>Table1[[#This Row],[gas_exp]]/Table1[[#This Row],[gasoline_price]]</f>
        <v>859.69926680751018</v>
      </c>
      <c r="P42">
        <f>Table1[[#This Row],[oil_exp]]/Table1[[#This Row],[heating_oil_price]]</f>
        <v>0</v>
      </c>
      <c r="S42">
        <v>202.62375148455101</v>
      </c>
      <c r="T42">
        <v>341.25648965514398</v>
      </c>
      <c r="U42">
        <v>600</v>
      </c>
      <c r="V42">
        <v>900</v>
      </c>
      <c r="W42">
        <v>1200</v>
      </c>
      <c r="X42">
        <v>720</v>
      </c>
      <c r="Y42">
        <v>1080</v>
      </c>
      <c r="Z42">
        <v>1440</v>
      </c>
      <c r="AA42">
        <v>-258.743510344855</v>
      </c>
      <c r="AB42">
        <v>-558.74351034485505</v>
      </c>
      <c r="AC42">
        <v>-858.74351034485505</v>
      </c>
      <c r="AD42">
        <v>-378.743510344855</v>
      </c>
      <c r="AE42">
        <v>-738.74351034485505</v>
      </c>
      <c r="AF42">
        <v>-1098.7435103448499</v>
      </c>
      <c r="AG42">
        <v>5.3208621486975499E-3</v>
      </c>
      <c r="AH42">
        <v>8.9613321513390895E-3</v>
      </c>
      <c r="AI42">
        <v>-6.79455661208623E-3</v>
      </c>
      <c r="AJ42">
        <v>-1.46725009937988E-2</v>
      </c>
      <c r="AK42">
        <v>-2.2550445375511499E-2</v>
      </c>
      <c r="AL42">
        <v>-9.9457343647712908E-3</v>
      </c>
      <c r="AM42">
        <v>-1.9399267622826399E-2</v>
      </c>
      <c r="AN42">
        <v>-2.8852800880881602E-2</v>
      </c>
    </row>
    <row r="43" spans="1:40" x14ac:dyDescent="0.2">
      <c r="A43" t="s">
        <v>42</v>
      </c>
      <c r="B43">
        <v>2025</v>
      </c>
      <c r="C43" t="s">
        <v>37</v>
      </c>
      <c r="D43">
        <v>100887</v>
      </c>
      <c r="E43">
        <v>1153</v>
      </c>
      <c r="F43">
        <v>223</v>
      </c>
      <c r="H43">
        <v>38081</v>
      </c>
      <c r="I43">
        <v>1.36283333333333</v>
      </c>
      <c r="J43">
        <v>1.26558333333333</v>
      </c>
      <c r="K43">
        <v>0</v>
      </c>
      <c r="L43">
        <v>0</v>
      </c>
      <c r="M43">
        <v>0</v>
      </c>
      <c r="N43">
        <v>0</v>
      </c>
      <c r="O43">
        <f>Table1[[#This Row],[gas_exp]]/Table1[[#This Row],[gasoline_price]]</f>
        <v>846.03155191390692</v>
      </c>
      <c r="P43">
        <f>Table1[[#This Row],[oil_exp]]/Table1[[#This Row],[heating_oil_price]]</f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</row>
    <row r="44" spans="1:40" x14ac:dyDescent="0.2">
      <c r="A44" t="s">
        <v>42</v>
      </c>
      <c r="B44">
        <v>2019</v>
      </c>
      <c r="C44" t="s">
        <v>38</v>
      </c>
      <c r="D44">
        <v>113395</v>
      </c>
      <c r="E44">
        <v>1861</v>
      </c>
      <c r="F44">
        <v>292</v>
      </c>
      <c r="G44">
        <v>57</v>
      </c>
      <c r="H44">
        <v>55147</v>
      </c>
      <c r="I44">
        <v>1.09033333333333</v>
      </c>
      <c r="J44">
        <v>1.1459999999999999</v>
      </c>
      <c r="K44">
        <v>4.4200000000000003E-2</v>
      </c>
      <c r="L44">
        <v>5.3699999999999998E-2</v>
      </c>
      <c r="M44">
        <v>3.9100000000000003E-2</v>
      </c>
      <c r="N44">
        <v>1.0499522999999999</v>
      </c>
      <c r="O44">
        <f>Table1[[#This Row],[gas_exp]]/Table1[[#This Row],[gasoline_price]]</f>
        <v>1706.8174870070366</v>
      </c>
      <c r="P44">
        <f>Table1[[#This Row],[oil_exp]]/Table1[[#This Row],[heating_oil_price]]</f>
        <v>49.738219895287962</v>
      </c>
      <c r="S44">
        <v>95.311753950847702</v>
      </c>
      <c r="T44">
        <v>222.70754406200999</v>
      </c>
      <c r="U44">
        <v>170</v>
      </c>
      <c r="V44">
        <v>255</v>
      </c>
      <c r="W44">
        <v>339</v>
      </c>
      <c r="X44">
        <v>187</v>
      </c>
      <c r="Y44">
        <v>280.5</v>
      </c>
      <c r="Z44">
        <v>372.9</v>
      </c>
      <c r="AA44">
        <v>52.707544062010498</v>
      </c>
      <c r="AB44">
        <v>-32.292455937989402</v>
      </c>
      <c r="AC44">
        <v>-116.292455937989</v>
      </c>
      <c r="AD44">
        <v>35.707544062010498</v>
      </c>
      <c r="AE44">
        <v>-57.792455937989402</v>
      </c>
      <c r="AF44">
        <v>-150.192455937989</v>
      </c>
      <c r="AG44">
        <v>1.72832164851846E-3</v>
      </c>
      <c r="AH44">
        <v>4.03843443998786E-3</v>
      </c>
      <c r="AI44">
        <v>9.5576448513990905E-4</v>
      </c>
      <c r="AJ44">
        <v>-5.8557049228406604E-4</v>
      </c>
      <c r="AK44">
        <v>-2.1087721170324602E-3</v>
      </c>
      <c r="AL44">
        <v>6.4749748965511303E-4</v>
      </c>
      <c r="AM44">
        <v>-1.0479709855112499E-3</v>
      </c>
      <c r="AN44">
        <v>-2.7234927727344902E-3</v>
      </c>
    </row>
    <row r="45" spans="1:40" x14ac:dyDescent="0.2">
      <c r="A45" t="s">
        <v>42</v>
      </c>
      <c r="B45">
        <v>2020</v>
      </c>
      <c r="C45" t="s">
        <v>38</v>
      </c>
      <c r="D45">
        <v>118950</v>
      </c>
      <c r="E45">
        <v>1681</v>
      </c>
      <c r="F45">
        <v>289.5</v>
      </c>
      <c r="G45">
        <v>57</v>
      </c>
      <c r="H45">
        <v>55146</v>
      </c>
      <c r="I45">
        <v>0.93674999999999997</v>
      </c>
      <c r="J45">
        <v>0.95808333333333295</v>
      </c>
      <c r="K45">
        <v>6.6299999999999998E-2</v>
      </c>
      <c r="L45">
        <v>8.0500000000000002E-2</v>
      </c>
      <c r="M45">
        <v>5.8700000000000002E-2</v>
      </c>
      <c r="N45">
        <v>1.5762711</v>
      </c>
      <c r="O45">
        <f>Table1[[#This Row],[gas_exp]]/Table1[[#This Row],[gasoline_price]]</f>
        <v>1794.5022684814519</v>
      </c>
      <c r="P45">
        <f>Table1[[#This Row],[oil_exp]]/Table1[[#This Row],[heating_oil_price]]</f>
        <v>59.493780986344291</v>
      </c>
      <c r="S45">
        <v>149.36488989126499</v>
      </c>
      <c r="T45">
        <v>332.76750266500397</v>
      </c>
      <c r="U45">
        <v>243</v>
      </c>
      <c r="V45">
        <v>364</v>
      </c>
      <c r="W45">
        <v>486</v>
      </c>
      <c r="X45">
        <v>267.3</v>
      </c>
      <c r="Y45">
        <v>400.4</v>
      </c>
      <c r="Z45">
        <v>534.6</v>
      </c>
      <c r="AA45">
        <v>89.7675026650044</v>
      </c>
      <c r="AB45">
        <v>-31.2324973349955</v>
      </c>
      <c r="AC45">
        <v>-153.232497334995</v>
      </c>
      <c r="AD45">
        <v>65.467502665004403</v>
      </c>
      <c r="AE45">
        <v>-67.632497334995506</v>
      </c>
      <c r="AF45">
        <v>-201.832497334995</v>
      </c>
      <c r="AG45">
        <v>2.7085353405734902E-3</v>
      </c>
      <c r="AH45">
        <v>6.0342999068836202E-3</v>
      </c>
      <c r="AI45">
        <v>1.6278153023792201E-3</v>
      </c>
      <c r="AJ45">
        <v>-5.6636015912297295E-4</v>
      </c>
      <c r="AK45">
        <v>-2.77866930212518E-3</v>
      </c>
      <c r="AL45">
        <v>1.1871668419287701E-3</v>
      </c>
      <c r="AM45">
        <v>-1.22642616572363E-3</v>
      </c>
      <c r="AN45">
        <v>-3.65996622302606E-3</v>
      </c>
    </row>
    <row r="46" spans="1:40" x14ac:dyDescent="0.2">
      <c r="A46" t="s">
        <v>42</v>
      </c>
      <c r="B46">
        <v>2021</v>
      </c>
      <c r="C46" t="s">
        <v>38</v>
      </c>
      <c r="D46">
        <v>118844</v>
      </c>
      <c r="E46">
        <v>1501</v>
      </c>
      <c r="F46">
        <v>287</v>
      </c>
      <c r="G46">
        <v>57</v>
      </c>
      <c r="H46">
        <v>55145</v>
      </c>
      <c r="I46">
        <v>1.25941666666666</v>
      </c>
      <c r="J46">
        <v>1.1819166666666601</v>
      </c>
      <c r="K46">
        <v>8.8400000000000006E-2</v>
      </c>
      <c r="L46">
        <v>0.10730000000000001</v>
      </c>
      <c r="M46">
        <v>7.8299999999999995E-2</v>
      </c>
      <c r="N46">
        <v>2.1025898999999999</v>
      </c>
      <c r="O46">
        <f>Table1[[#This Row],[gas_exp]]/Table1[[#This Row],[gasoline_price]]</f>
        <v>1191.8216105339836</v>
      </c>
      <c r="P46">
        <f>Table1[[#This Row],[oil_exp]]/Table1[[#This Row],[heating_oil_price]]</f>
        <v>48.22675033490826</v>
      </c>
      <c r="S46">
        <v>144.384929885069</v>
      </c>
      <c r="T46">
        <v>305.97246054352098</v>
      </c>
      <c r="U46">
        <v>360</v>
      </c>
      <c r="V46">
        <v>540</v>
      </c>
      <c r="W46">
        <v>720</v>
      </c>
      <c r="X46">
        <v>396</v>
      </c>
      <c r="Y46">
        <v>594</v>
      </c>
      <c r="Z46">
        <v>792</v>
      </c>
      <c r="AA46">
        <v>-54.027539456478003</v>
      </c>
      <c r="AB46">
        <v>-234.027539456478</v>
      </c>
      <c r="AC46">
        <v>-414.027539456478</v>
      </c>
      <c r="AD46">
        <v>-90.027539456478095</v>
      </c>
      <c r="AE46">
        <v>-288.027539456478</v>
      </c>
      <c r="AF46">
        <v>-486.027539456478</v>
      </c>
      <c r="AG46">
        <v>2.6182778109541901E-3</v>
      </c>
      <c r="AH46">
        <v>5.5485077621456498E-3</v>
      </c>
      <c r="AI46">
        <v>-9.7973595895326903E-4</v>
      </c>
      <c r="AJ46">
        <v>-4.2438578195027298E-3</v>
      </c>
      <c r="AK46">
        <v>-7.5079796800521896E-3</v>
      </c>
      <c r="AL46">
        <v>-1.6325603310631601E-3</v>
      </c>
      <c r="AM46">
        <v>-5.2230943776675597E-3</v>
      </c>
      <c r="AN46">
        <v>-8.8136284242719704E-3</v>
      </c>
    </row>
    <row r="47" spans="1:40" x14ac:dyDescent="0.2">
      <c r="A47" t="s">
        <v>42</v>
      </c>
      <c r="B47">
        <v>2022</v>
      </c>
      <c r="C47" t="s">
        <v>38</v>
      </c>
      <c r="D47">
        <v>119469</v>
      </c>
      <c r="E47">
        <v>1619.5</v>
      </c>
      <c r="F47">
        <v>334.5</v>
      </c>
      <c r="G47">
        <v>43.5</v>
      </c>
      <c r="H47">
        <v>57728.5</v>
      </c>
      <c r="I47">
        <v>1.70891666666666</v>
      </c>
      <c r="J47">
        <v>1.7853333333333301</v>
      </c>
      <c r="K47">
        <v>0.1105</v>
      </c>
      <c r="L47">
        <v>0.1341</v>
      </c>
      <c r="M47">
        <v>9.7900000000000001E-2</v>
      </c>
      <c r="N47">
        <v>2.6289087000000002</v>
      </c>
      <c r="O47">
        <f>Table1[[#This Row],[gas_exp]]/Table1[[#This Row],[gasoline_price]]</f>
        <v>947.67640317940584</v>
      </c>
      <c r="P47">
        <f>Table1[[#This Row],[oil_exp]]/Table1[[#This Row],[heating_oil_price]]</f>
        <v>24.365197908887275</v>
      </c>
      <c r="S47">
        <v>157.31827035532001</v>
      </c>
      <c r="T47">
        <v>316.27343929410699</v>
      </c>
      <c r="U47">
        <v>416</v>
      </c>
      <c r="V47">
        <v>624</v>
      </c>
      <c r="W47">
        <v>832</v>
      </c>
      <c r="X47">
        <v>457.6</v>
      </c>
      <c r="Y47">
        <v>686.4</v>
      </c>
      <c r="Z47">
        <v>915.2</v>
      </c>
      <c r="AA47">
        <v>-99.726560705892297</v>
      </c>
      <c r="AB47">
        <v>-307.72656070589198</v>
      </c>
      <c r="AC47">
        <v>-515.72656070589198</v>
      </c>
      <c r="AD47">
        <v>-141.32656070589201</v>
      </c>
      <c r="AE47">
        <v>-370.12656070589202</v>
      </c>
      <c r="AF47">
        <v>-598.92656070589203</v>
      </c>
      <c r="AG47">
        <v>2.7251404480511401E-3</v>
      </c>
      <c r="AH47">
        <v>5.4786360167700101E-3</v>
      </c>
      <c r="AI47">
        <v>-1.7275099942990399E-3</v>
      </c>
      <c r="AJ47">
        <v>-5.3305829998335696E-3</v>
      </c>
      <c r="AK47">
        <v>-8.9336560053681E-3</v>
      </c>
      <c r="AL47">
        <v>-2.4481245954059501E-3</v>
      </c>
      <c r="AM47">
        <v>-6.41150490149393E-3</v>
      </c>
      <c r="AN47">
        <v>-1.03748852075819E-2</v>
      </c>
    </row>
    <row r="48" spans="1:40" x14ac:dyDescent="0.2">
      <c r="A48" t="s">
        <v>42</v>
      </c>
      <c r="B48">
        <v>2023</v>
      </c>
      <c r="C48" t="s">
        <v>38</v>
      </c>
      <c r="D48">
        <v>125134</v>
      </c>
      <c r="E48">
        <v>1738</v>
      </c>
      <c r="F48">
        <v>382</v>
      </c>
      <c r="G48">
        <v>30</v>
      </c>
      <c r="H48">
        <v>60312</v>
      </c>
      <c r="I48">
        <v>1.5527500000000001</v>
      </c>
      <c r="J48">
        <v>1.5549166666666601</v>
      </c>
      <c r="K48">
        <v>0.1431</v>
      </c>
      <c r="L48">
        <v>0.17380000000000001</v>
      </c>
      <c r="M48">
        <v>0.1239</v>
      </c>
      <c r="N48">
        <v>3.3270867000000002</v>
      </c>
      <c r="O48">
        <f>Table1[[#This Row],[gas_exp]]/Table1[[#This Row],[gasoline_price]]</f>
        <v>1119.304459829335</v>
      </c>
      <c r="P48">
        <f>Table1[[#This Row],[oil_exp]]/Table1[[#This Row],[heating_oil_price]]</f>
        <v>19.293638458652744</v>
      </c>
      <c r="S48">
        <v>234.825835964031</v>
      </c>
      <c r="T48">
        <v>433.792945720722</v>
      </c>
      <c r="U48">
        <v>528</v>
      </c>
      <c r="V48">
        <v>792</v>
      </c>
      <c r="W48">
        <v>1056</v>
      </c>
      <c r="X48">
        <v>580.79999999999995</v>
      </c>
      <c r="Y48">
        <v>871.2</v>
      </c>
      <c r="Z48">
        <v>1161.5999999999999</v>
      </c>
      <c r="AA48">
        <v>-94.207054279277401</v>
      </c>
      <c r="AB48">
        <v>-358.20705427927697</v>
      </c>
      <c r="AC48">
        <v>-622.20705427927703</v>
      </c>
      <c r="AD48">
        <v>-147.00705427927701</v>
      </c>
      <c r="AE48">
        <v>-437.40705427927702</v>
      </c>
      <c r="AF48">
        <v>-727.80705427927705</v>
      </c>
      <c r="AG48">
        <v>3.8935176410006501E-3</v>
      </c>
      <c r="AH48">
        <v>7.1924815247500001E-3</v>
      </c>
      <c r="AI48">
        <v>-1.5619951963005199E-3</v>
      </c>
      <c r="AJ48">
        <v>-5.9392335568257898E-3</v>
      </c>
      <c r="AK48">
        <v>-1.0316471917351E-2</v>
      </c>
      <c r="AL48">
        <v>-2.4374428684055798E-3</v>
      </c>
      <c r="AM48">
        <v>-7.2524050649833702E-3</v>
      </c>
      <c r="AN48">
        <v>-1.20673672615611E-2</v>
      </c>
    </row>
    <row r="49" spans="1:40" x14ac:dyDescent="0.2">
      <c r="A49" t="s">
        <v>42</v>
      </c>
      <c r="B49">
        <v>2024</v>
      </c>
      <c r="C49" t="s">
        <v>38</v>
      </c>
      <c r="D49">
        <v>129206</v>
      </c>
      <c r="E49">
        <v>1738</v>
      </c>
      <c r="F49">
        <v>382</v>
      </c>
      <c r="G49">
        <v>30</v>
      </c>
      <c r="H49">
        <v>60312</v>
      </c>
      <c r="I49">
        <v>1.34116666666666</v>
      </c>
      <c r="J49">
        <v>1.3398333333333301</v>
      </c>
      <c r="K49">
        <v>0.17610000000000001</v>
      </c>
      <c r="L49">
        <v>0.21390000000000001</v>
      </c>
      <c r="M49">
        <v>0.1525</v>
      </c>
      <c r="N49">
        <v>4.0950825000000002</v>
      </c>
      <c r="O49">
        <f>Table1[[#This Row],[gas_exp]]/Table1[[#This Row],[gasoline_price]]</f>
        <v>1295.8866658382071</v>
      </c>
      <c r="P49">
        <f>Table1[[#This Row],[oil_exp]]/Table1[[#This Row],[heating_oil_price]]</f>
        <v>22.390844632417021</v>
      </c>
      <c r="S49">
        <v>320.75348051248102</v>
      </c>
      <c r="T49">
        <v>540.20916108003405</v>
      </c>
      <c r="U49">
        <v>600</v>
      </c>
      <c r="V49">
        <v>900</v>
      </c>
      <c r="W49">
        <v>1200</v>
      </c>
      <c r="X49">
        <v>720</v>
      </c>
      <c r="Y49">
        <v>1080</v>
      </c>
      <c r="Z49">
        <v>1440</v>
      </c>
      <c r="AA49">
        <v>-59.7908389199659</v>
      </c>
      <c r="AB49">
        <v>-359.79083891996498</v>
      </c>
      <c r="AC49">
        <v>-659.79083891996595</v>
      </c>
      <c r="AD49">
        <v>-179.79083891996501</v>
      </c>
      <c r="AE49">
        <v>-539.79083891996595</v>
      </c>
      <c r="AF49">
        <v>-899.79083891996595</v>
      </c>
      <c r="AG49">
        <v>5.3182365120122196E-3</v>
      </c>
      <c r="AH49">
        <v>8.9569100855556704E-3</v>
      </c>
      <c r="AI49">
        <v>-9.9135891563811407E-4</v>
      </c>
      <c r="AJ49">
        <v>-5.9654934162350097E-3</v>
      </c>
      <c r="AK49">
        <v>-1.0939627916831901E-2</v>
      </c>
      <c r="AL49">
        <v>-2.9810127158768698E-3</v>
      </c>
      <c r="AM49">
        <v>-8.9499741165931408E-3</v>
      </c>
      <c r="AN49">
        <v>-1.49189355173094E-2</v>
      </c>
    </row>
    <row r="50" spans="1:40" x14ac:dyDescent="0.2">
      <c r="A50" t="s">
        <v>42</v>
      </c>
      <c r="B50">
        <v>2025</v>
      </c>
      <c r="C50" t="s">
        <v>38</v>
      </c>
      <c r="D50">
        <v>129206</v>
      </c>
      <c r="E50">
        <v>1738</v>
      </c>
      <c r="F50">
        <v>382</v>
      </c>
      <c r="G50">
        <v>30</v>
      </c>
      <c r="H50">
        <v>60312</v>
      </c>
      <c r="I50">
        <v>1.36283333333333</v>
      </c>
      <c r="J50">
        <v>1.26558333333333</v>
      </c>
      <c r="K50">
        <v>0</v>
      </c>
      <c r="L50">
        <v>0</v>
      </c>
      <c r="M50">
        <v>0</v>
      </c>
      <c r="N50">
        <v>0</v>
      </c>
      <c r="O50">
        <f>Table1[[#This Row],[gas_exp]]/Table1[[#This Row],[gasoline_price]]</f>
        <v>1275.2843341078667</v>
      </c>
      <c r="P50">
        <f>Table1[[#This Row],[oil_exp]]/Table1[[#This Row],[heating_oil_price]]</f>
        <v>23.704484098241981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</row>
    <row r="51" spans="1:40" x14ac:dyDescent="0.2">
      <c r="A51" t="s">
        <v>42</v>
      </c>
      <c r="B51">
        <v>2019</v>
      </c>
      <c r="C51" t="s">
        <v>39</v>
      </c>
      <c r="D51">
        <v>113961</v>
      </c>
      <c r="E51">
        <v>2549</v>
      </c>
      <c r="F51">
        <v>399</v>
      </c>
      <c r="G51">
        <v>41</v>
      </c>
      <c r="H51">
        <v>75484</v>
      </c>
      <c r="I51">
        <v>1.09033333333333</v>
      </c>
      <c r="J51">
        <v>1.1459999999999999</v>
      </c>
      <c r="K51">
        <v>4.4200000000000003E-2</v>
      </c>
      <c r="L51">
        <v>5.3699999999999998E-2</v>
      </c>
      <c r="M51">
        <v>3.9100000000000003E-2</v>
      </c>
      <c r="N51">
        <v>1.0499522999999999</v>
      </c>
      <c r="O51">
        <f>Table1[[#This Row],[gas_exp]]/Table1[[#This Row],[gasoline_price]]</f>
        <v>2337.8171812901323</v>
      </c>
      <c r="P51">
        <f>Table1[[#This Row],[oil_exp]]/Table1[[#This Row],[heating_oil_price]]</f>
        <v>35.776614310645726</v>
      </c>
      <c r="S51">
        <v>128.75475088947499</v>
      </c>
      <c r="T51">
        <v>300.851187479967</v>
      </c>
      <c r="U51">
        <v>170</v>
      </c>
      <c r="V51">
        <v>255</v>
      </c>
      <c r="W51">
        <v>339</v>
      </c>
      <c r="X51">
        <v>187</v>
      </c>
      <c r="Y51">
        <v>280.5</v>
      </c>
      <c r="Z51">
        <v>372.9</v>
      </c>
      <c r="AA51">
        <v>130.851187479967</v>
      </c>
      <c r="AB51">
        <v>45.851187479967102</v>
      </c>
      <c r="AC51">
        <v>-38.148812520032799</v>
      </c>
      <c r="AD51">
        <v>113.851187479967</v>
      </c>
      <c r="AE51">
        <v>20.351187479967098</v>
      </c>
      <c r="AF51">
        <v>-72.048812520032797</v>
      </c>
      <c r="AG51">
        <v>1.7057224165316499E-3</v>
      </c>
      <c r="AH51">
        <v>3.98562857665157E-3</v>
      </c>
      <c r="AI51">
        <v>1.73349567431465E-3</v>
      </c>
      <c r="AJ51">
        <v>6.07429223146192E-4</v>
      </c>
      <c r="AK51">
        <v>-5.0538938742028495E-4</v>
      </c>
      <c r="AL51">
        <v>1.5082823840809501E-3</v>
      </c>
      <c r="AM51">
        <v>2.6960928779565398E-4</v>
      </c>
      <c r="AN51">
        <v>-9.5449118382747095E-4</v>
      </c>
    </row>
    <row r="52" spans="1:40" x14ac:dyDescent="0.2">
      <c r="A52" t="s">
        <v>42</v>
      </c>
      <c r="B52">
        <v>2020</v>
      </c>
      <c r="C52" t="s">
        <v>39</v>
      </c>
      <c r="D52">
        <v>109393</v>
      </c>
      <c r="E52">
        <v>2535.5</v>
      </c>
      <c r="F52">
        <v>425</v>
      </c>
      <c r="G52">
        <v>66</v>
      </c>
      <c r="H52">
        <v>77806.5</v>
      </c>
      <c r="I52">
        <v>0.93674999999999997</v>
      </c>
      <c r="J52">
        <v>0.95808333333333295</v>
      </c>
      <c r="K52">
        <v>6.6299999999999998E-2</v>
      </c>
      <c r="L52">
        <v>8.0500000000000002E-2</v>
      </c>
      <c r="M52">
        <v>5.8700000000000002E-2</v>
      </c>
      <c r="N52">
        <v>1.5762711</v>
      </c>
      <c r="O52">
        <f>Table1[[#This Row],[gas_exp]]/Table1[[#This Row],[gasoline_price]]</f>
        <v>2706.6986922871633</v>
      </c>
      <c r="P52">
        <f>Table1[[#This Row],[oil_exp]]/Table1[[#This Row],[heating_oil_price]]</f>
        <v>68.887535878924965</v>
      </c>
      <c r="S52">
        <v>222.58181363864199</v>
      </c>
      <c r="T52">
        <v>495.88624419767001</v>
      </c>
      <c r="U52">
        <v>243</v>
      </c>
      <c r="V52">
        <v>364</v>
      </c>
      <c r="W52">
        <v>486</v>
      </c>
      <c r="X52">
        <v>267.3</v>
      </c>
      <c r="Y52">
        <v>400.4</v>
      </c>
      <c r="Z52">
        <v>534.6</v>
      </c>
      <c r="AA52">
        <v>252.88624419767001</v>
      </c>
      <c r="AB52">
        <v>131.88624419767001</v>
      </c>
      <c r="AC52">
        <v>9.8862441976704005</v>
      </c>
      <c r="AD52">
        <v>228.58624419767</v>
      </c>
      <c r="AE52">
        <v>95.486244197670302</v>
      </c>
      <c r="AF52">
        <v>-38.713755802329601</v>
      </c>
      <c r="AG52">
        <v>2.86070975610832E-3</v>
      </c>
      <c r="AH52">
        <v>6.3733267040372004E-3</v>
      </c>
      <c r="AI52">
        <v>3.2501943179254998E-3</v>
      </c>
      <c r="AJ52">
        <v>1.69505432319498E-3</v>
      </c>
      <c r="AK52">
        <v>1.2706193181379901E-4</v>
      </c>
      <c r="AL52">
        <v>2.9378810793143201E-3</v>
      </c>
      <c r="AM52">
        <v>1.22722708511076E-3</v>
      </c>
      <c r="AN52">
        <v>-4.9756454540853998E-4</v>
      </c>
    </row>
    <row r="53" spans="1:40" x14ac:dyDescent="0.2">
      <c r="A53" t="s">
        <v>42</v>
      </c>
      <c r="B53">
        <v>2021</v>
      </c>
      <c r="C53" t="s">
        <v>39</v>
      </c>
      <c r="D53">
        <v>112945</v>
      </c>
      <c r="E53">
        <v>2522</v>
      </c>
      <c r="F53">
        <v>451</v>
      </c>
      <c r="G53">
        <v>91</v>
      </c>
      <c r="H53">
        <v>80129</v>
      </c>
      <c r="I53">
        <v>1.25941666666666</v>
      </c>
      <c r="J53">
        <v>1.1819166666666601</v>
      </c>
      <c r="K53">
        <v>8.8400000000000006E-2</v>
      </c>
      <c r="L53">
        <v>0.10730000000000001</v>
      </c>
      <c r="M53">
        <v>7.8299999999999995E-2</v>
      </c>
      <c r="N53">
        <v>2.1025898999999999</v>
      </c>
      <c r="O53">
        <f>Table1[[#This Row],[gas_exp]]/Table1[[#This Row],[gasoline_price]]</f>
        <v>2002.5143915834158</v>
      </c>
      <c r="P53">
        <f>Table1[[#This Row],[oil_exp]]/Table1[[#This Row],[heating_oil_price]]</f>
        <v>76.993583868011427</v>
      </c>
      <c r="S53">
        <v>238.48152108389999</v>
      </c>
      <c r="T53">
        <v>505.37668895421501</v>
      </c>
      <c r="U53">
        <v>360</v>
      </c>
      <c r="V53">
        <v>540</v>
      </c>
      <c r="W53">
        <v>720</v>
      </c>
      <c r="X53">
        <v>396</v>
      </c>
      <c r="Y53">
        <v>594</v>
      </c>
      <c r="Z53">
        <v>792</v>
      </c>
      <c r="AA53">
        <v>145.37668895421501</v>
      </c>
      <c r="AB53">
        <v>-34.623311045784398</v>
      </c>
      <c r="AC53">
        <v>-214.62331104578399</v>
      </c>
      <c r="AD53">
        <v>109.376688954215</v>
      </c>
      <c r="AE53">
        <v>-88.623311045784405</v>
      </c>
      <c r="AF53">
        <v>-286.62331104578402</v>
      </c>
      <c r="AG53">
        <v>2.9762198590260699E-3</v>
      </c>
      <c r="AH53">
        <v>6.3070385123265597E-3</v>
      </c>
      <c r="AI53">
        <v>1.81428308046045E-3</v>
      </c>
      <c r="AJ53">
        <v>-4.3209463547260498E-4</v>
      </c>
      <c r="AK53">
        <v>-2.6784723514056601E-3</v>
      </c>
      <c r="AL53">
        <v>1.3650075372738399E-3</v>
      </c>
      <c r="AM53">
        <v>-1.1060079502525199E-3</v>
      </c>
      <c r="AN53">
        <v>-3.5770234377788799E-3</v>
      </c>
    </row>
    <row r="54" spans="1:40" x14ac:dyDescent="0.2">
      <c r="A54" t="s">
        <v>42</v>
      </c>
      <c r="B54">
        <v>2022</v>
      </c>
      <c r="C54" t="s">
        <v>39</v>
      </c>
      <c r="D54">
        <v>110352</v>
      </c>
      <c r="E54">
        <v>2684.5</v>
      </c>
      <c r="F54">
        <v>380</v>
      </c>
      <c r="G54">
        <v>72</v>
      </c>
      <c r="H54">
        <v>79072.5</v>
      </c>
      <c r="I54">
        <v>1.70891666666666</v>
      </c>
      <c r="J54">
        <v>1.7853333333333301</v>
      </c>
      <c r="K54">
        <v>0.1105</v>
      </c>
      <c r="L54">
        <v>0.1341</v>
      </c>
      <c r="M54">
        <v>9.7900000000000001E-2</v>
      </c>
      <c r="N54">
        <v>2.6289087000000002</v>
      </c>
      <c r="O54">
        <f>Table1[[#This Row],[gas_exp]]/Table1[[#This Row],[gasoline_price]]</f>
        <v>1570.8782366996697</v>
      </c>
      <c r="P54">
        <f>Table1[[#This Row],[oil_exp]]/Table1[[#This Row],[heating_oil_price]]</f>
        <v>40.328603435399621</v>
      </c>
      <c r="S54">
        <v>235.033186542599</v>
      </c>
      <c r="T54">
        <v>472.51189634991698</v>
      </c>
      <c r="U54">
        <v>416</v>
      </c>
      <c r="V54">
        <v>624</v>
      </c>
      <c r="W54">
        <v>832</v>
      </c>
      <c r="X54">
        <v>457.6</v>
      </c>
      <c r="Y54">
        <v>686.4</v>
      </c>
      <c r="Z54">
        <v>915.2</v>
      </c>
      <c r="AA54">
        <v>56.511896349917699</v>
      </c>
      <c r="AB54">
        <v>-151.488103650082</v>
      </c>
      <c r="AC54">
        <v>-359.488103650082</v>
      </c>
      <c r="AD54">
        <v>14.911896349917599</v>
      </c>
      <c r="AE54">
        <v>-213.888103650082</v>
      </c>
      <c r="AF54">
        <v>-442.68810365008198</v>
      </c>
      <c r="AG54">
        <v>2.9723758138745998E-3</v>
      </c>
      <c r="AH54">
        <v>5.9756792355106702E-3</v>
      </c>
      <c r="AI54">
        <v>7.1468457870837098E-4</v>
      </c>
      <c r="AJ54">
        <v>-1.9158127496927699E-3</v>
      </c>
      <c r="AK54">
        <v>-4.5463100780939302E-3</v>
      </c>
      <c r="AL54">
        <v>1.88585113028141E-4</v>
      </c>
      <c r="AM54">
        <v>-2.7049619482131201E-3</v>
      </c>
      <c r="AN54">
        <v>-5.5985090094543902E-3</v>
      </c>
    </row>
    <row r="55" spans="1:40" x14ac:dyDescent="0.2">
      <c r="A55" t="s">
        <v>42</v>
      </c>
      <c r="B55">
        <v>2023</v>
      </c>
      <c r="C55" t="s">
        <v>39</v>
      </c>
      <c r="D55">
        <v>125262</v>
      </c>
      <c r="E55">
        <v>2847</v>
      </c>
      <c r="F55">
        <v>309</v>
      </c>
      <c r="G55">
        <v>53</v>
      </c>
      <c r="H55">
        <v>78016</v>
      </c>
      <c r="I55">
        <v>1.5527500000000001</v>
      </c>
      <c r="J55">
        <v>1.5549166666666601</v>
      </c>
      <c r="K55">
        <v>0.1431</v>
      </c>
      <c r="L55">
        <v>0.17380000000000001</v>
      </c>
      <c r="M55">
        <v>0.1239</v>
      </c>
      <c r="N55">
        <v>3.3270867000000002</v>
      </c>
      <c r="O55">
        <f>Table1[[#This Row],[gas_exp]]/Table1[[#This Row],[gasoline_price]]</f>
        <v>1833.5211721139913</v>
      </c>
      <c r="P55">
        <f>Table1[[#This Row],[oil_exp]]/Table1[[#This Row],[heating_oil_price]]</f>
        <v>34.085427943619848</v>
      </c>
      <c r="S55">
        <v>325.975642341943</v>
      </c>
      <c r="T55">
        <v>602.17366434234805</v>
      </c>
      <c r="U55">
        <v>528</v>
      </c>
      <c r="V55">
        <v>792</v>
      </c>
      <c r="W55">
        <v>1056</v>
      </c>
      <c r="X55">
        <v>580.79999999999995</v>
      </c>
      <c r="Y55">
        <v>871.2</v>
      </c>
      <c r="Z55">
        <v>1161.5999999999999</v>
      </c>
      <c r="AA55">
        <v>74.173664342348701</v>
      </c>
      <c r="AB55">
        <v>-189.82633565765099</v>
      </c>
      <c r="AC55">
        <v>-453.82633565765099</v>
      </c>
      <c r="AD55">
        <v>21.373664342348601</v>
      </c>
      <c r="AE55">
        <v>-269.02633565765098</v>
      </c>
      <c r="AF55">
        <v>-559.42633565765095</v>
      </c>
      <c r="AG55">
        <v>4.1783178109867604E-3</v>
      </c>
      <c r="AH55">
        <v>7.71859188297719E-3</v>
      </c>
      <c r="AI55">
        <v>9.5074938912977699E-4</v>
      </c>
      <c r="AJ55">
        <v>-2.4331718577939301E-3</v>
      </c>
      <c r="AK55">
        <v>-5.8170931047176301E-3</v>
      </c>
      <c r="AL55">
        <v>2.7396513974503503E-4</v>
      </c>
      <c r="AM55">
        <v>-3.4483482318710401E-3</v>
      </c>
      <c r="AN55">
        <v>-7.1706616034871197E-3</v>
      </c>
    </row>
    <row r="56" spans="1:40" x14ac:dyDescent="0.2">
      <c r="A56" t="s">
        <v>42</v>
      </c>
      <c r="B56">
        <v>2024</v>
      </c>
      <c r="C56" t="s">
        <v>39</v>
      </c>
      <c r="D56">
        <v>125712</v>
      </c>
      <c r="E56">
        <v>2847</v>
      </c>
      <c r="F56">
        <v>309</v>
      </c>
      <c r="G56">
        <v>53</v>
      </c>
      <c r="H56">
        <v>78016</v>
      </c>
      <c r="I56">
        <v>1.34116666666666</v>
      </c>
      <c r="J56">
        <v>1.3398333333333301</v>
      </c>
      <c r="K56">
        <v>0.17610000000000001</v>
      </c>
      <c r="L56">
        <v>0.21390000000000001</v>
      </c>
      <c r="M56">
        <v>0.1525</v>
      </c>
      <c r="N56">
        <v>4.0950825000000002</v>
      </c>
      <c r="O56">
        <f>Table1[[#This Row],[gas_exp]]/Table1[[#This Row],[gasoline_price]]</f>
        <v>2122.7786752827246</v>
      </c>
      <c r="P56">
        <f>Table1[[#This Row],[oil_exp]]/Table1[[#This Row],[heating_oil_price]]</f>
        <v>39.557158850603408</v>
      </c>
      <c r="S56">
        <v>453.27044662467898</v>
      </c>
      <c r="T56">
        <v>763.39264447658104</v>
      </c>
      <c r="U56">
        <v>600</v>
      </c>
      <c r="V56">
        <v>900</v>
      </c>
      <c r="W56">
        <v>1200</v>
      </c>
      <c r="X56">
        <v>720</v>
      </c>
      <c r="Y56">
        <v>1080</v>
      </c>
      <c r="Z56">
        <v>1440</v>
      </c>
      <c r="AA56">
        <v>163.39264447658101</v>
      </c>
      <c r="AB56">
        <v>-136.60735552341799</v>
      </c>
      <c r="AC56">
        <v>-436.60735552341799</v>
      </c>
      <c r="AD56">
        <v>43.3926444765818</v>
      </c>
      <c r="AE56">
        <v>-316.60735552341799</v>
      </c>
      <c r="AF56">
        <v>-676.60735552341805</v>
      </c>
      <c r="AG56">
        <v>5.8099677838479198E-3</v>
      </c>
      <c r="AH56">
        <v>9.7850779901120493E-3</v>
      </c>
      <c r="AI56">
        <v>2.0943478834672602E-3</v>
      </c>
      <c r="AJ56">
        <v>-1.7510171698551301E-3</v>
      </c>
      <c r="AK56">
        <v>-5.5963822231775298E-3</v>
      </c>
      <c r="AL56">
        <v>5.5620186213830203E-4</v>
      </c>
      <c r="AM56">
        <v>-4.0582362018485698E-3</v>
      </c>
      <c r="AN56">
        <v>-8.6726742658354405E-3</v>
      </c>
    </row>
    <row r="57" spans="1:40" x14ac:dyDescent="0.2">
      <c r="A57" t="s">
        <v>42</v>
      </c>
      <c r="B57">
        <v>2025</v>
      </c>
      <c r="C57" t="s">
        <v>39</v>
      </c>
      <c r="D57">
        <v>125712</v>
      </c>
      <c r="E57">
        <v>2847</v>
      </c>
      <c r="F57">
        <v>309</v>
      </c>
      <c r="G57">
        <v>53</v>
      </c>
      <c r="H57">
        <v>78016</v>
      </c>
      <c r="I57">
        <v>1.36283333333333</v>
      </c>
      <c r="J57">
        <v>1.26558333333333</v>
      </c>
      <c r="K57">
        <v>0</v>
      </c>
      <c r="L57">
        <v>0</v>
      </c>
      <c r="M57">
        <v>0</v>
      </c>
      <c r="N57">
        <v>0</v>
      </c>
      <c r="O57">
        <f>Table1[[#This Row],[gas_exp]]/Table1[[#This Row],[gasoline_price]]</f>
        <v>2089.0302066772706</v>
      </c>
      <c r="P57">
        <f>Table1[[#This Row],[oil_exp]]/Table1[[#This Row],[heating_oil_price]]</f>
        <v>41.877921906894166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</row>
    <row r="58" spans="1:40" x14ac:dyDescent="0.2">
      <c r="A58" t="s">
        <v>42</v>
      </c>
      <c r="B58">
        <v>2019</v>
      </c>
      <c r="C58" t="s">
        <v>40</v>
      </c>
      <c r="D58">
        <v>119770</v>
      </c>
      <c r="E58">
        <v>3171</v>
      </c>
      <c r="F58">
        <v>585</v>
      </c>
      <c r="G58">
        <v>56</v>
      </c>
      <c r="H58">
        <v>107985</v>
      </c>
      <c r="I58">
        <v>1.09033333333333</v>
      </c>
      <c r="J58">
        <v>1.1459999999999999</v>
      </c>
      <c r="K58">
        <v>4.4200000000000003E-2</v>
      </c>
      <c r="L58">
        <v>5.3699999999999998E-2</v>
      </c>
      <c r="M58">
        <v>3.9100000000000003E-2</v>
      </c>
      <c r="N58">
        <v>1.0499522999999999</v>
      </c>
      <c r="O58">
        <f>Table1[[#This Row],[gas_exp]]/Table1[[#This Row],[gasoline_price]]</f>
        <v>2908.2849281565359</v>
      </c>
      <c r="P58">
        <f>Table1[[#This Row],[oil_exp]]/Table1[[#This Row],[heating_oil_price]]</f>
        <v>48.865619546247821</v>
      </c>
      <c r="S58">
        <v>165.62813715170199</v>
      </c>
      <c r="T58">
        <v>387.01035416517198</v>
      </c>
      <c r="U58">
        <v>170</v>
      </c>
      <c r="V58">
        <v>255</v>
      </c>
      <c r="W58">
        <v>339</v>
      </c>
      <c r="X58">
        <v>187</v>
      </c>
      <c r="Y58">
        <v>280.5</v>
      </c>
      <c r="Z58">
        <v>372.9</v>
      </c>
      <c r="AA58">
        <v>217.010354165172</v>
      </c>
      <c r="AB58">
        <v>132.010354165172</v>
      </c>
      <c r="AC58">
        <v>48.010354165172799</v>
      </c>
      <c r="AD58">
        <v>200.010354165172</v>
      </c>
      <c r="AE58">
        <v>106.510354165172</v>
      </c>
      <c r="AF58">
        <v>14.1103541651727</v>
      </c>
      <c r="AG58">
        <v>1.5338068912506501E-3</v>
      </c>
      <c r="AH58">
        <v>3.5839269728681999E-3</v>
      </c>
      <c r="AI58">
        <v>2.0096342470266502E-3</v>
      </c>
      <c r="AJ58">
        <v>1.2224878841058701E-3</v>
      </c>
      <c r="AK58">
        <v>4.4460206663122403E-4</v>
      </c>
      <c r="AL58">
        <v>1.8522049744424899E-3</v>
      </c>
      <c r="AM58">
        <v>9.8634397522964095E-4</v>
      </c>
      <c r="AN58">
        <v>1.30669576007526E-4</v>
      </c>
    </row>
    <row r="59" spans="1:40" x14ac:dyDescent="0.2">
      <c r="A59" t="s">
        <v>42</v>
      </c>
      <c r="B59">
        <v>2020</v>
      </c>
      <c r="C59" t="s">
        <v>40</v>
      </c>
      <c r="D59">
        <v>113599</v>
      </c>
      <c r="E59">
        <v>2921.5</v>
      </c>
      <c r="F59">
        <v>550.5</v>
      </c>
      <c r="G59">
        <v>69.5</v>
      </c>
      <c r="H59">
        <v>104323.5</v>
      </c>
      <c r="I59">
        <v>0.93674999999999997</v>
      </c>
      <c r="J59">
        <v>0.95808333333333295</v>
      </c>
      <c r="K59">
        <v>6.6299999999999998E-2</v>
      </c>
      <c r="L59">
        <v>8.0500000000000002E-2</v>
      </c>
      <c r="M59">
        <v>5.8700000000000002E-2</v>
      </c>
      <c r="N59">
        <v>1.5762711</v>
      </c>
      <c r="O59">
        <f>Table1[[#This Row],[gas_exp]]/Table1[[#This Row],[gasoline_price]]</f>
        <v>3118.7616760074729</v>
      </c>
      <c r="P59">
        <f>Table1[[#This Row],[oil_exp]]/Table1[[#This Row],[heating_oil_price]]</f>
        <v>72.540662781595231</v>
      </c>
      <c r="S59">
        <v>261.29348166806801</v>
      </c>
      <c r="T59">
        <v>582.13131225567702</v>
      </c>
      <c r="U59">
        <v>243</v>
      </c>
      <c r="V59">
        <v>364</v>
      </c>
      <c r="W59">
        <v>486</v>
      </c>
      <c r="X59">
        <v>267.3</v>
      </c>
      <c r="Y59">
        <v>400.4</v>
      </c>
      <c r="Z59">
        <v>534.6</v>
      </c>
      <c r="AA59">
        <v>339.13131225567702</v>
      </c>
      <c r="AB59">
        <v>218.13131225567699</v>
      </c>
      <c r="AC59">
        <v>96.131312255677301</v>
      </c>
      <c r="AD59">
        <v>314.83131225567701</v>
      </c>
      <c r="AE59">
        <v>181.73131225567701</v>
      </c>
      <c r="AF59">
        <v>47.5313122556773</v>
      </c>
      <c r="AG59">
        <v>2.5046464283509299E-3</v>
      </c>
      <c r="AH59">
        <v>5.5800592604319903E-3</v>
      </c>
      <c r="AI59">
        <v>3.25076624399754E-3</v>
      </c>
      <c r="AJ59">
        <v>2.0909125197647398E-3</v>
      </c>
      <c r="AK59">
        <v>9.2147322756308298E-4</v>
      </c>
      <c r="AL59">
        <v>3.01783694235409E-3</v>
      </c>
      <c r="AM59">
        <v>1.74199784569801E-3</v>
      </c>
      <c r="AN59">
        <v>4.5561462427619201E-4</v>
      </c>
    </row>
    <row r="60" spans="1:40" x14ac:dyDescent="0.2">
      <c r="A60" t="s">
        <v>42</v>
      </c>
      <c r="B60">
        <v>2021</v>
      </c>
      <c r="C60" t="s">
        <v>40</v>
      </c>
      <c r="D60">
        <v>122750</v>
      </c>
      <c r="E60">
        <v>2672</v>
      </c>
      <c r="F60">
        <v>516</v>
      </c>
      <c r="G60">
        <v>83</v>
      </c>
      <c r="H60">
        <v>100662</v>
      </c>
      <c r="I60">
        <v>1.25941666666666</v>
      </c>
      <c r="J60">
        <v>1.1819166666666601</v>
      </c>
      <c r="K60">
        <v>8.8400000000000006E-2</v>
      </c>
      <c r="L60">
        <v>0.10730000000000001</v>
      </c>
      <c r="M60">
        <v>7.8299999999999995E-2</v>
      </c>
      <c r="N60">
        <v>2.1025898999999999</v>
      </c>
      <c r="O60">
        <f>Table1[[#This Row],[gas_exp]]/Table1[[#This Row],[gasoline_price]]</f>
        <v>2121.6171507973381</v>
      </c>
      <c r="P60">
        <f>Table1[[#This Row],[oil_exp]]/Table1[[#This Row],[heating_oil_price]]</f>
        <v>70.224917154340091</v>
      </c>
      <c r="S60">
        <v>255.95102113038399</v>
      </c>
      <c r="T60">
        <v>542.39707548584704</v>
      </c>
      <c r="U60">
        <v>360</v>
      </c>
      <c r="V60">
        <v>540</v>
      </c>
      <c r="W60">
        <v>720</v>
      </c>
      <c r="X60">
        <v>396</v>
      </c>
      <c r="Y60">
        <v>594</v>
      </c>
      <c r="Z60">
        <v>792</v>
      </c>
      <c r="AA60">
        <v>182.39707548584701</v>
      </c>
      <c r="AB60">
        <v>2.3970754858472598</v>
      </c>
      <c r="AC60">
        <v>-177.60292451415199</v>
      </c>
      <c r="AD60">
        <v>146.39707548584701</v>
      </c>
      <c r="AE60">
        <v>-51.602924514152697</v>
      </c>
      <c r="AF60">
        <v>-249.60292451415199</v>
      </c>
      <c r="AG60">
        <v>2.5426776850289499E-3</v>
      </c>
      <c r="AH60">
        <v>5.3883002074849203E-3</v>
      </c>
      <c r="AI60">
        <v>1.8119754771994099E-3</v>
      </c>
      <c r="AJ60" s="1">
        <v>2.38131120566576E-5</v>
      </c>
      <c r="AK60">
        <v>-1.76434925308609E-3</v>
      </c>
      <c r="AL60">
        <v>1.4543430041708599E-3</v>
      </c>
      <c r="AM60">
        <v>-5.1263559748616796E-4</v>
      </c>
      <c r="AN60">
        <v>-2.4796141991432E-3</v>
      </c>
    </row>
    <row r="61" spans="1:40" x14ac:dyDescent="0.2">
      <c r="A61" t="s">
        <v>42</v>
      </c>
      <c r="B61">
        <v>2022</v>
      </c>
      <c r="C61" t="s">
        <v>40</v>
      </c>
      <c r="D61">
        <v>117483</v>
      </c>
      <c r="E61">
        <v>3323.5</v>
      </c>
      <c r="F61">
        <v>527</v>
      </c>
      <c r="G61">
        <v>72.5</v>
      </c>
      <c r="H61">
        <v>104959.5</v>
      </c>
      <c r="I61">
        <v>1.70891666666666</v>
      </c>
      <c r="J61">
        <v>1.7853333333333301</v>
      </c>
      <c r="K61">
        <v>0.1105</v>
      </c>
      <c r="L61">
        <v>0.1341</v>
      </c>
      <c r="M61">
        <v>9.7900000000000001E-2</v>
      </c>
      <c r="N61">
        <v>2.6289087000000002</v>
      </c>
      <c r="O61">
        <f>Table1[[#This Row],[gas_exp]]/Table1[[#This Row],[gasoline_price]]</f>
        <v>1944.799336811828</v>
      </c>
      <c r="P61">
        <f>Table1[[#This Row],[oil_exp]]/Table1[[#This Row],[heating_oil_price]]</f>
        <v>40.608663181478789</v>
      </c>
      <c r="S61">
        <v>298.068845493232</v>
      </c>
      <c r="T61">
        <v>599.23910107609504</v>
      </c>
      <c r="U61">
        <v>416</v>
      </c>
      <c r="V61">
        <v>624</v>
      </c>
      <c r="W61">
        <v>832</v>
      </c>
      <c r="X61">
        <v>457.6</v>
      </c>
      <c r="Y61">
        <v>686.4</v>
      </c>
      <c r="Z61">
        <v>915.2</v>
      </c>
      <c r="AA61">
        <v>183.23910107609501</v>
      </c>
      <c r="AB61">
        <v>-24.7608989239042</v>
      </c>
      <c r="AC61">
        <v>-232.76089892390399</v>
      </c>
      <c r="AD61">
        <v>141.63910107609499</v>
      </c>
      <c r="AE61">
        <v>-87.160898923904298</v>
      </c>
      <c r="AF61">
        <v>-315.96089892390398</v>
      </c>
      <c r="AG61">
        <v>2.8398462787382899E-3</v>
      </c>
      <c r="AH61">
        <v>5.7092411937565901E-3</v>
      </c>
      <c r="AI61">
        <v>1.74580767892468E-3</v>
      </c>
      <c r="AJ61">
        <v>-2.35909078491268E-4</v>
      </c>
      <c r="AK61">
        <v>-2.2176258359072202E-3</v>
      </c>
      <c r="AL61">
        <v>1.34946432744149E-3</v>
      </c>
      <c r="AM61">
        <v>-8.3042410571605501E-4</v>
      </c>
      <c r="AN61">
        <v>-3.0103125388736001E-3</v>
      </c>
    </row>
    <row r="62" spans="1:40" x14ac:dyDescent="0.2">
      <c r="A62" t="s">
        <v>42</v>
      </c>
      <c r="B62">
        <v>2023</v>
      </c>
      <c r="C62" t="s">
        <v>40</v>
      </c>
      <c r="D62">
        <v>127131</v>
      </c>
      <c r="E62">
        <v>3975</v>
      </c>
      <c r="F62">
        <v>538</v>
      </c>
      <c r="G62">
        <v>62</v>
      </c>
      <c r="H62">
        <v>109257</v>
      </c>
      <c r="I62">
        <v>1.5527500000000001</v>
      </c>
      <c r="J62">
        <v>1.5549166666666601</v>
      </c>
      <c r="K62">
        <v>0.1431</v>
      </c>
      <c r="L62">
        <v>0.17380000000000001</v>
      </c>
      <c r="M62">
        <v>0.1239</v>
      </c>
      <c r="N62">
        <v>3.3270867000000002</v>
      </c>
      <c r="O62">
        <f>Table1[[#This Row],[gas_exp]]/Table1[[#This Row],[gasoline_price]]</f>
        <v>2559.9742392529383</v>
      </c>
      <c r="P62">
        <f>Table1[[#This Row],[oil_exp]]/Table1[[#This Row],[heating_oil_price]]</f>
        <v>39.873519481215666</v>
      </c>
      <c r="S62">
        <v>473.67979668498998</v>
      </c>
      <c r="T62">
        <v>875.02703222080004</v>
      </c>
      <c r="U62">
        <v>528</v>
      </c>
      <c r="V62">
        <v>792</v>
      </c>
      <c r="W62">
        <v>1056</v>
      </c>
      <c r="X62">
        <v>580.79999999999995</v>
      </c>
      <c r="Y62">
        <v>871.2</v>
      </c>
      <c r="Z62">
        <v>1161.5999999999999</v>
      </c>
      <c r="AA62">
        <v>347.02703222079998</v>
      </c>
      <c r="AB62">
        <v>83.027032220800095</v>
      </c>
      <c r="AC62">
        <v>-180.972967779199</v>
      </c>
      <c r="AD62">
        <v>294.22703222080003</v>
      </c>
      <c r="AE62">
        <v>3.8270322208001</v>
      </c>
      <c r="AF62">
        <v>-286.57296777919998</v>
      </c>
      <c r="AG62">
        <v>4.3354640589160403E-3</v>
      </c>
      <c r="AH62">
        <v>8.0088875973237401E-3</v>
      </c>
      <c r="AI62">
        <v>3.1762452952286799E-3</v>
      </c>
      <c r="AJ62">
        <v>7.5992414418115197E-4</v>
      </c>
      <c r="AK62">
        <v>-1.6563970068663701E-3</v>
      </c>
      <c r="AL62">
        <v>2.6929810650191698E-3</v>
      </c>
      <c r="AM62" s="1">
        <v>3.5027798866892798E-5</v>
      </c>
      <c r="AN62">
        <v>-2.62292546728539E-3</v>
      </c>
    </row>
    <row r="63" spans="1:40" x14ac:dyDescent="0.2">
      <c r="A63" t="s">
        <v>42</v>
      </c>
      <c r="B63">
        <v>2024</v>
      </c>
      <c r="C63" t="s">
        <v>40</v>
      </c>
      <c r="D63">
        <v>124212</v>
      </c>
      <c r="E63">
        <v>3975</v>
      </c>
      <c r="F63">
        <v>538</v>
      </c>
      <c r="G63">
        <v>62</v>
      </c>
      <c r="H63">
        <v>109257</v>
      </c>
      <c r="I63">
        <v>1.34116666666666</v>
      </c>
      <c r="J63">
        <v>1.3398333333333301</v>
      </c>
      <c r="K63">
        <v>0.17610000000000001</v>
      </c>
      <c r="L63">
        <v>0.21390000000000001</v>
      </c>
      <c r="M63">
        <v>0.1525</v>
      </c>
      <c r="N63">
        <v>4.0950825000000002</v>
      </c>
      <c r="O63">
        <f>Table1[[#This Row],[gas_exp]]/Table1[[#This Row],[gasoline_price]]</f>
        <v>2963.8374549521709</v>
      </c>
      <c r="P63">
        <f>Table1[[#This Row],[oil_exp]]/Table1[[#This Row],[heating_oil_price]]</f>
        <v>46.274412240328509</v>
      </c>
      <c r="S63">
        <v>655.42683359377997</v>
      </c>
      <c r="T63">
        <v>1103.86200442573</v>
      </c>
      <c r="U63">
        <v>600</v>
      </c>
      <c r="V63">
        <v>900</v>
      </c>
      <c r="W63">
        <v>1200</v>
      </c>
      <c r="X63">
        <v>720</v>
      </c>
      <c r="Y63">
        <v>1080</v>
      </c>
      <c r="Z63">
        <v>1440</v>
      </c>
      <c r="AA63">
        <v>503.86200442573801</v>
      </c>
      <c r="AB63">
        <v>203.86200442573801</v>
      </c>
      <c r="AC63">
        <v>-96.137995574261296</v>
      </c>
      <c r="AD63">
        <v>383.86200442573801</v>
      </c>
      <c r="AE63">
        <v>23.862004425738601</v>
      </c>
      <c r="AF63">
        <v>-336.13799557426103</v>
      </c>
      <c r="AG63">
        <v>5.99894591279076E-3</v>
      </c>
      <c r="AH63">
        <v>1.01033526861046E-2</v>
      </c>
      <c r="AI63">
        <v>4.61171370645119E-3</v>
      </c>
      <c r="AJ63">
        <v>1.86589421662446E-3</v>
      </c>
      <c r="AK63">
        <v>-8.7992527320227801E-4</v>
      </c>
      <c r="AL63">
        <v>3.5133859105205001E-3</v>
      </c>
      <c r="AM63">
        <v>2.18402522728416E-4</v>
      </c>
      <c r="AN63">
        <v>-3.0765808650636598E-3</v>
      </c>
    </row>
    <row r="64" spans="1:40" x14ac:dyDescent="0.2">
      <c r="A64" t="s">
        <v>42</v>
      </c>
      <c r="B64">
        <v>2025</v>
      </c>
      <c r="C64" t="s">
        <v>40</v>
      </c>
      <c r="D64">
        <v>124212</v>
      </c>
      <c r="E64">
        <v>3975</v>
      </c>
      <c r="F64">
        <v>538</v>
      </c>
      <c r="G64">
        <v>62</v>
      </c>
      <c r="H64">
        <v>109257</v>
      </c>
      <c r="I64">
        <v>1.36283333333333</v>
      </c>
      <c r="J64">
        <v>1.26558333333333</v>
      </c>
      <c r="K64">
        <v>0</v>
      </c>
      <c r="L64">
        <v>0</v>
      </c>
      <c r="M64">
        <v>0</v>
      </c>
      <c r="N64">
        <v>0</v>
      </c>
      <c r="O64">
        <f>Table1[[#This Row],[gas_exp]]/Table1[[#This Row],[gasoline_price]]</f>
        <v>2916.7176225999829</v>
      </c>
      <c r="P64">
        <f>Table1[[#This Row],[oil_exp]]/Table1[[#This Row],[heating_oil_price]]</f>
        <v>48.989267136366763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</row>
    <row r="65" spans="1:40" x14ac:dyDescent="0.2">
      <c r="A65" t="s">
        <v>42</v>
      </c>
      <c r="B65">
        <v>2019</v>
      </c>
      <c r="C65" t="s">
        <v>41</v>
      </c>
      <c r="D65">
        <v>98465</v>
      </c>
      <c r="E65">
        <v>4314</v>
      </c>
      <c r="F65">
        <v>781</v>
      </c>
      <c r="G65">
        <v>64</v>
      </c>
      <c r="H65">
        <v>175440</v>
      </c>
      <c r="I65">
        <v>1.09033333333333</v>
      </c>
      <c r="J65">
        <v>1.1459999999999999</v>
      </c>
      <c r="K65">
        <v>4.4200000000000003E-2</v>
      </c>
      <c r="L65">
        <v>5.3699999999999998E-2</v>
      </c>
      <c r="M65">
        <v>3.9100000000000003E-2</v>
      </c>
      <c r="N65">
        <v>1.0499522999999999</v>
      </c>
      <c r="O65">
        <f>Table1[[#This Row],[gas_exp]]/Table1[[#This Row],[gasoline_price]]</f>
        <v>3956.5881993274347</v>
      </c>
      <c r="P65">
        <f>Table1[[#This Row],[oil_exp]]/Table1[[#This Row],[heating_oil_price]]</f>
        <v>55.846422338568942</v>
      </c>
      <c r="S65">
        <v>223.88286635728301</v>
      </c>
      <c r="T65">
        <v>523.12963781683004</v>
      </c>
      <c r="U65">
        <v>170</v>
      </c>
      <c r="V65">
        <v>255</v>
      </c>
      <c r="W65">
        <v>339</v>
      </c>
      <c r="X65">
        <v>187</v>
      </c>
      <c r="Y65">
        <v>280.5</v>
      </c>
      <c r="Z65">
        <v>372.9</v>
      </c>
      <c r="AA65">
        <v>353.12963781682998</v>
      </c>
      <c r="AB65">
        <v>268.12963781682998</v>
      </c>
      <c r="AC65">
        <v>184.12963781683001</v>
      </c>
      <c r="AD65">
        <v>336.12963781682998</v>
      </c>
      <c r="AE65">
        <v>242.62963781683001</v>
      </c>
      <c r="AF65">
        <v>150.22963781683001</v>
      </c>
      <c r="AG65">
        <v>1.27612212925948E-3</v>
      </c>
      <c r="AH65">
        <v>2.9818150810352801E-3</v>
      </c>
      <c r="AI65">
        <v>2.0128228329732698E-3</v>
      </c>
      <c r="AJ65">
        <v>1.5283267089422599E-3</v>
      </c>
      <c r="AK65">
        <v>1.04953053931162E-3</v>
      </c>
      <c r="AL65">
        <v>1.91592360816706E-3</v>
      </c>
      <c r="AM65">
        <v>1.38297787173296E-3</v>
      </c>
      <c r="AN65">
        <v>8.5630208513925304E-4</v>
      </c>
    </row>
    <row r="66" spans="1:40" x14ac:dyDescent="0.2">
      <c r="A66" t="s">
        <v>42</v>
      </c>
      <c r="B66">
        <v>2020</v>
      </c>
      <c r="C66" t="s">
        <v>41</v>
      </c>
      <c r="D66">
        <v>100213</v>
      </c>
      <c r="E66">
        <v>4047.5</v>
      </c>
      <c r="F66">
        <v>783.5</v>
      </c>
      <c r="G66">
        <v>78.5</v>
      </c>
      <c r="H66">
        <v>169767.5</v>
      </c>
      <c r="I66">
        <v>0.93674999999999997</v>
      </c>
      <c r="J66">
        <v>0.95808333333333295</v>
      </c>
      <c r="K66">
        <v>6.6299999999999998E-2</v>
      </c>
      <c r="L66">
        <v>8.0500000000000002E-2</v>
      </c>
      <c r="M66">
        <v>5.8700000000000002E-2</v>
      </c>
      <c r="N66">
        <v>1.5762711</v>
      </c>
      <c r="O66">
        <f>Table1[[#This Row],[gas_exp]]/Table1[[#This Row],[gasoline_price]]</f>
        <v>4320.7899653055783</v>
      </c>
      <c r="P66">
        <f>Table1[[#This Row],[oil_exp]]/Table1[[#This Row],[heating_oil_price]]</f>
        <v>81.934417674175904</v>
      </c>
      <c r="S66">
        <v>362.348066946816</v>
      </c>
      <c r="T66">
        <v>807.26910735957699</v>
      </c>
      <c r="U66">
        <v>243</v>
      </c>
      <c r="V66">
        <v>364</v>
      </c>
      <c r="W66">
        <v>486</v>
      </c>
      <c r="X66">
        <v>267.3</v>
      </c>
      <c r="Y66">
        <v>400.4</v>
      </c>
      <c r="Z66">
        <v>534.6</v>
      </c>
      <c r="AA66">
        <v>564.26910735957699</v>
      </c>
      <c r="AB66">
        <v>443.26910735957699</v>
      </c>
      <c r="AC66">
        <v>321.26910735957699</v>
      </c>
      <c r="AD66">
        <v>539.96910735957704</v>
      </c>
      <c r="AE66">
        <v>406.86910735957701</v>
      </c>
      <c r="AF66">
        <v>272.66910735957703</v>
      </c>
      <c r="AG66">
        <v>2.1343782935297701E-3</v>
      </c>
      <c r="AH66">
        <v>4.7551451683012103E-3</v>
      </c>
      <c r="AI66">
        <v>3.3237757954825099E-3</v>
      </c>
      <c r="AJ66">
        <v>2.61103631354397E-3</v>
      </c>
      <c r="AK66">
        <v>1.8924064226637999E-3</v>
      </c>
      <c r="AL66">
        <v>3.1806388582006398E-3</v>
      </c>
      <c r="AM66">
        <v>2.39662542806825E-3</v>
      </c>
      <c r="AN66">
        <v>1.60613254810006E-3</v>
      </c>
    </row>
    <row r="67" spans="1:40" x14ac:dyDescent="0.2">
      <c r="A67" t="s">
        <v>42</v>
      </c>
      <c r="B67">
        <v>2021</v>
      </c>
      <c r="C67" t="s">
        <v>41</v>
      </c>
      <c r="D67">
        <v>89909</v>
      </c>
      <c r="E67">
        <v>3781</v>
      </c>
      <c r="F67">
        <v>786</v>
      </c>
      <c r="G67">
        <v>93</v>
      </c>
      <c r="H67">
        <v>164095</v>
      </c>
      <c r="I67">
        <v>1.25941666666666</v>
      </c>
      <c r="J67">
        <v>1.1819166666666601</v>
      </c>
      <c r="K67">
        <v>8.8400000000000006E-2</v>
      </c>
      <c r="L67">
        <v>0.10730000000000001</v>
      </c>
      <c r="M67">
        <v>7.8299999999999995E-2</v>
      </c>
      <c r="N67">
        <v>2.1025898999999999</v>
      </c>
      <c r="O67">
        <f>Table1[[#This Row],[gas_exp]]/Table1[[#This Row],[gasoline_price]]</f>
        <v>3002.1835505856047</v>
      </c>
      <c r="P67">
        <f>Table1[[#This Row],[oil_exp]]/Table1[[#This Row],[heating_oil_price]]</f>
        <v>78.685750546429261</v>
      </c>
      <c r="S67">
        <v>366.548867509937</v>
      </c>
      <c r="T67">
        <v>776.76984011234299</v>
      </c>
      <c r="U67">
        <v>360</v>
      </c>
      <c r="V67">
        <v>540</v>
      </c>
      <c r="W67">
        <v>720</v>
      </c>
      <c r="X67">
        <v>396</v>
      </c>
      <c r="Y67">
        <v>594</v>
      </c>
      <c r="Z67">
        <v>792</v>
      </c>
      <c r="AA67">
        <v>416.76984011234299</v>
      </c>
      <c r="AB67">
        <v>236.76984011234299</v>
      </c>
      <c r="AC67">
        <v>56.769840112343303</v>
      </c>
      <c r="AD67">
        <v>380.76984011234299</v>
      </c>
      <c r="AE67">
        <v>182.76984011234299</v>
      </c>
      <c r="AF67">
        <v>-15.230159887656701</v>
      </c>
      <c r="AG67">
        <v>2.2337601237693802E-3</v>
      </c>
      <c r="AH67">
        <v>4.7336594052978E-3</v>
      </c>
      <c r="AI67">
        <v>2.5398082824726101E-3</v>
      </c>
      <c r="AJ67">
        <v>1.44288272106001E-3</v>
      </c>
      <c r="AK67">
        <v>3.4595715964741902E-4</v>
      </c>
      <c r="AL67">
        <v>2.3204231701900902E-3</v>
      </c>
      <c r="AM67">
        <v>1.1138050526362301E-3</v>
      </c>
      <c r="AN67" s="1">
        <v>-9.2813064917619505E-5</v>
      </c>
    </row>
    <row r="68" spans="1:40" x14ac:dyDescent="0.2">
      <c r="A68" t="s">
        <v>42</v>
      </c>
      <c r="B68">
        <v>2022</v>
      </c>
      <c r="C68" t="s">
        <v>41</v>
      </c>
      <c r="D68">
        <v>105572</v>
      </c>
      <c r="E68">
        <v>4325.5</v>
      </c>
      <c r="F68">
        <v>809</v>
      </c>
      <c r="G68">
        <v>99</v>
      </c>
      <c r="H68">
        <v>173770.5</v>
      </c>
      <c r="I68">
        <v>1.70891666666666</v>
      </c>
      <c r="J68">
        <v>1.7853333333333301</v>
      </c>
      <c r="K68">
        <v>0.1105</v>
      </c>
      <c r="L68">
        <v>0.1341</v>
      </c>
      <c r="M68">
        <v>9.7900000000000001E-2</v>
      </c>
      <c r="N68">
        <v>2.6289087000000002</v>
      </c>
      <c r="O68">
        <f>Table1[[#This Row],[gas_exp]]/Table1[[#This Row],[gasoline_price]]</f>
        <v>2531.1357097576538</v>
      </c>
      <c r="P68">
        <f>Table1[[#This Row],[oil_exp]]/Table1[[#This Row],[heating_oil_price]]</f>
        <v>55.451829723674486</v>
      </c>
      <c r="S68">
        <v>406.439344752794</v>
      </c>
      <c r="T68">
        <v>817.10769600424896</v>
      </c>
      <c r="U68">
        <v>416</v>
      </c>
      <c r="V68">
        <v>624</v>
      </c>
      <c r="W68">
        <v>832</v>
      </c>
      <c r="X68">
        <v>457.6</v>
      </c>
      <c r="Y68">
        <v>686.4</v>
      </c>
      <c r="Z68">
        <v>915.2</v>
      </c>
      <c r="AA68">
        <v>401.10769600424902</v>
      </c>
      <c r="AB68">
        <v>193.10769600424899</v>
      </c>
      <c r="AC68">
        <v>-14.892303995750099</v>
      </c>
      <c r="AD68">
        <v>359.507696004249</v>
      </c>
      <c r="AE68">
        <v>130.70769600424899</v>
      </c>
      <c r="AF68">
        <v>-98.0923039957501</v>
      </c>
      <c r="AG68">
        <v>2.3389432887215801E-3</v>
      </c>
      <c r="AH68">
        <v>4.70222331180637E-3</v>
      </c>
      <c r="AI68">
        <v>2.3082611605781699E-3</v>
      </c>
      <c r="AJ68">
        <v>1.1112800849640699E-3</v>
      </c>
      <c r="AK68" s="1">
        <v>-8.5700990650024696E-5</v>
      </c>
      <c r="AL68">
        <v>2.06886494545535E-3</v>
      </c>
      <c r="AM68">
        <v>7.5218576227984401E-4</v>
      </c>
      <c r="AN68">
        <v>-5.64493420895665E-4</v>
      </c>
    </row>
    <row r="69" spans="1:40" x14ac:dyDescent="0.2">
      <c r="A69" t="s">
        <v>42</v>
      </c>
      <c r="B69">
        <v>2023</v>
      </c>
      <c r="C69" t="s">
        <v>41</v>
      </c>
      <c r="D69">
        <v>111035</v>
      </c>
      <c r="E69">
        <v>4870</v>
      </c>
      <c r="F69">
        <v>832</v>
      </c>
      <c r="G69">
        <v>105</v>
      </c>
      <c r="H69">
        <v>183446</v>
      </c>
      <c r="I69">
        <v>1.5527500000000001</v>
      </c>
      <c r="J69">
        <v>1.5549166666666601</v>
      </c>
      <c r="K69">
        <v>0.1431</v>
      </c>
      <c r="L69">
        <v>0.17380000000000001</v>
      </c>
      <c r="M69">
        <v>0.1239</v>
      </c>
      <c r="N69">
        <v>3.3270867000000002</v>
      </c>
      <c r="O69">
        <f>Table1[[#This Row],[gas_exp]]/Table1[[#This Row],[gasoline_price]]</f>
        <v>3136.3709547576877</v>
      </c>
      <c r="P69">
        <f>Table1[[#This Row],[oil_exp]]/Table1[[#This Row],[heating_oil_price]]</f>
        <v>67.527734605284607</v>
      </c>
      <c r="S69">
        <v>615.843441040063</v>
      </c>
      <c r="T69">
        <v>1137.6454353705501</v>
      </c>
      <c r="U69">
        <v>528</v>
      </c>
      <c r="V69">
        <v>792</v>
      </c>
      <c r="W69">
        <v>1056</v>
      </c>
      <c r="X69">
        <v>580.79999999999995</v>
      </c>
      <c r="Y69">
        <v>871.2</v>
      </c>
      <c r="Z69">
        <v>1161.5999999999999</v>
      </c>
      <c r="AA69">
        <v>609.64543537055397</v>
      </c>
      <c r="AB69">
        <v>345.64543537055403</v>
      </c>
      <c r="AC69">
        <v>81.645435370554395</v>
      </c>
      <c r="AD69">
        <v>556.84543537055401</v>
      </c>
      <c r="AE69">
        <v>266.44543537055398</v>
      </c>
      <c r="AF69">
        <v>-23.954564629445699</v>
      </c>
      <c r="AG69">
        <v>3.3570829619618998E-3</v>
      </c>
      <c r="AH69">
        <v>6.2015276177761003E-3</v>
      </c>
      <c r="AI69">
        <v>3.32329642167479E-3</v>
      </c>
      <c r="AJ69">
        <v>1.8841808236241401E-3</v>
      </c>
      <c r="AK69">
        <v>4.45065225573489E-4</v>
      </c>
      <c r="AL69">
        <v>3.0354733020646601E-3</v>
      </c>
      <c r="AM69">
        <v>1.45244614420894E-3</v>
      </c>
      <c r="AN69">
        <v>-1.30581013646771E-4</v>
      </c>
    </row>
    <row r="70" spans="1:40" x14ac:dyDescent="0.2">
      <c r="A70" t="s">
        <v>42</v>
      </c>
      <c r="B70">
        <v>2024</v>
      </c>
      <c r="C70" t="s">
        <v>41</v>
      </c>
      <c r="D70">
        <v>100396</v>
      </c>
      <c r="E70">
        <v>4870</v>
      </c>
      <c r="F70">
        <v>832</v>
      </c>
      <c r="G70">
        <v>105</v>
      </c>
      <c r="H70">
        <v>183446</v>
      </c>
      <c r="I70">
        <v>1.34116666666666</v>
      </c>
      <c r="J70">
        <v>1.3398333333333301</v>
      </c>
      <c r="K70">
        <v>0.17610000000000001</v>
      </c>
      <c r="L70">
        <v>0.21390000000000001</v>
      </c>
      <c r="M70">
        <v>0.1525</v>
      </c>
      <c r="N70">
        <v>4.0950825000000002</v>
      </c>
      <c r="O70">
        <f>Table1[[#This Row],[gas_exp]]/Table1[[#This Row],[gasoline_price]]</f>
        <v>3631.166894494861</v>
      </c>
      <c r="P70">
        <f>Table1[[#This Row],[oil_exp]]/Table1[[#This Row],[heating_oil_price]]</f>
        <v>78.367956213459578</v>
      </c>
      <c r="S70">
        <v>847.35019065860001</v>
      </c>
      <c r="T70">
        <v>1427.0970182625199</v>
      </c>
      <c r="U70">
        <v>600</v>
      </c>
      <c r="V70">
        <v>900</v>
      </c>
      <c r="W70">
        <v>1200</v>
      </c>
      <c r="X70">
        <v>720</v>
      </c>
      <c r="Y70">
        <v>1080</v>
      </c>
      <c r="Z70">
        <v>1440</v>
      </c>
      <c r="AA70">
        <v>827.09701826252694</v>
      </c>
      <c r="AB70">
        <v>527.09701826252694</v>
      </c>
      <c r="AC70">
        <v>227.097018262527</v>
      </c>
      <c r="AD70">
        <v>707.09701826252694</v>
      </c>
      <c r="AE70">
        <v>347.097018262527</v>
      </c>
      <c r="AF70">
        <v>-12.9029817374721</v>
      </c>
      <c r="AG70">
        <v>4.6190715014696399E-3</v>
      </c>
      <c r="AH70">
        <v>7.7793847686105297E-3</v>
      </c>
      <c r="AI70">
        <v>4.5086675003135901E-3</v>
      </c>
      <c r="AJ70">
        <v>2.8733088661651199E-3</v>
      </c>
      <c r="AK70">
        <v>1.2379502320166501E-3</v>
      </c>
      <c r="AL70">
        <v>3.8545240466541998E-3</v>
      </c>
      <c r="AM70">
        <v>1.8920936856760399E-3</v>
      </c>
      <c r="AN70" s="1">
        <v>-7.0336675302116905E-5</v>
      </c>
    </row>
    <row r="71" spans="1:40" x14ac:dyDescent="0.2">
      <c r="A71" t="s">
        <v>42</v>
      </c>
      <c r="B71">
        <v>2025</v>
      </c>
      <c r="C71" t="s">
        <v>41</v>
      </c>
      <c r="D71">
        <v>100396</v>
      </c>
      <c r="E71">
        <v>4870</v>
      </c>
      <c r="F71">
        <v>832</v>
      </c>
      <c r="G71">
        <v>105</v>
      </c>
      <c r="H71">
        <v>183446</v>
      </c>
      <c r="I71">
        <v>1.36283333333333</v>
      </c>
      <c r="J71">
        <v>1.26558333333333</v>
      </c>
      <c r="K71">
        <v>0</v>
      </c>
      <c r="L71">
        <v>0</v>
      </c>
      <c r="M71">
        <v>0</v>
      </c>
      <c r="N71">
        <v>0</v>
      </c>
      <c r="O71">
        <f>Table1[[#This Row],[gas_exp]]/Table1[[#This Row],[gasoline_price]]</f>
        <v>3573.4376910847586</v>
      </c>
      <c r="P71">
        <f>Table1[[#This Row],[oil_exp]]/Table1[[#This Row],[heating_oil_price]]</f>
        <v>82.965694343846934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</row>
    <row r="72" spans="1:40" x14ac:dyDescent="0.2">
      <c r="A72" t="s">
        <v>43</v>
      </c>
      <c r="B72">
        <v>2019</v>
      </c>
      <c r="C72" t="s">
        <v>37</v>
      </c>
      <c r="D72">
        <v>67501</v>
      </c>
      <c r="E72">
        <v>1434</v>
      </c>
      <c r="F72">
        <v>480</v>
      </c>
      <c r="G72">
        <v>95</v>
      </c>
      <c r="H72">
        <v>38748</v>
      </c>
      <c r="I72">
        <v>1.11154166666666</v>
      </c>
      <c r="J72">
        <v>1.1245833333333299</v>
      </c>
      <c r="K72">
        <v>4.4200000000000003E-2</v>
      </c>
      <c r="L72">
        <v>5.3699999999999998E-2</v>
      </c>
      <c r="M72">
        <v>3.9100000000000003E-2</v>
      </c>
      <c r="N72">
        <v>1.0499522999999999</v>
      </c>
      <c r="O72">
        <f>Table1[[#This Row],[gas_exp]]/Table1[[#This Row],[gasoline_price]]</f>
        <v>1290.1000862165988</v>
      </c>
      <c r="P72">
        <f>Table1[[#This Row],[oil_exp]]/Table1[[#This Row],[heating_oil_price]]</f>
        <v>84.475731752501176</v>
      </c>
      <c r="S72">
        <v>86.9088189370826</v>
      </c>
      <c r="T72">
        <v>243.31898621833699</v>
      </c>
      <c r="U72">
        <v>305</v>
      </c>
      <c r="V72">
        <v>457</v>
      </c>
      <c r="W72">
        <v>609</v>
      </c>
      <c r="X72">
        <v>335.5</v>
      </c>
      <c r="Y72">
        <v>502.7</v>
      </c>
      <c r="Z72">
        <v>669.9</v>
      </c>
      <c r="AA72">
        <v>-61.681013781662799</v>
      </c>
      <c r="AB72">
        <v>-213.68101378166199</v>
      </c>
      <c r="AC72">
        <v>-365.68101378166199</v>
      </c>
      <c r="AD72">
        <v>-92.181013781662799</v>
      </c>
      <c r="AE72">
        <v>-259.38101378166198</v>
      </c>
      <c r="AF72">
        <v>-426.58101378166202</v>
      </c>
      <c r="AG72">
        <v>2.2429239944534501E-3</v>
      </c>
      <c r="AH72">
        <v>6.2795237487957298E-3</v>
      </c>
      <c r="AI72">
        <v>-1.5918502576045899E-3</v>
      </c>
      <c r="AJ72">
        <v>-5.5146333689909798E-3</v>
      </c>
      <c r="AK72">
        <v>-9.4374164803773808E-3</v>
      </c>
      <c r="AL72">
        <v>-2.3789876582446202E-3</v>
      </c>
      <c r="AM72">
        <v>-6.6940490807696597E-3</v>
      </c>
      <c r="AN72">
        <v>-1.1009110503294599E-2</v>
      </c>
    </row>
    <row r="73" spans="1:40" x14ac:dyDescent="0.2">
      <c r="A73" t="s">
        <v>43</v>
      </c>
      <c r="B73">
        <v>2020</v>
      </c>
      <c r="C73" t="s">
        <v>37</v>
      </c>
      <c r="D73">
        <v>56398</v>
      </c>
      <c r="E73">
        <v>1521.5</v>
      </c>
      <c r="F73">
        <v>486.5</v>
      </c>
      <c r="G73">
        <v>148.5</v>
      </c>
      <c r="H73">
        <v>40181.5</v>
      </c>
      <c r="I73">
        <v>0.96683333333333299</v>
      </c>
      <c r="J73">
        <v>0.92245833333333305</v>
      </c>
      <c r="K73">
        <v>6.6299999999999998E-2</v>
      </c>
      <c r="L73">
        <v>8.0500000000000002E-2</v>
      </c>
      <c r="M73">
        <v>5.8700000000000002E-2</v>
      </c>
      <c r="N73">
        <v>1.5762711</v>
      </c>
      <c r="O73">
        <f>Table1[[#This Row],[gas_exp]]/Table1[[#This Row],[gasoline_price]]</f>
        <v>1573.6941906567838</v>
      </c>
      <c r="P73">
        <f>Table1[[#This Row],[oil_exp]]/Table1[[#This Row],[heating_oil_price]]</f>
        <v>160.98288088892909</v>
      </c>
      <c r="S73">
        <v>155.86789802664799</v>
      </c>
      <c r="T73">
        <v>410.088185866571</v>
      </c>
      <c r="U73">
        <v>405</v>
      </c>
      <c r="V73">
        <v>607</v>
      </c>
      <c r="W73">
        <v>809</v>
      </c>
      <c r="X73">
        <v>445.5</v>
      </c>
      <c r="Y73">
        <v>667.7</v>
      </c>
      <c r="Z73">
        <v>889.9</v>
      </c>
      <c r="AA73">
        <v>5.0881858665718402</v>
      </c>
      <c r="AB73">
        <v>-196.91181413342801</v>
      </c>
      <c r="AC73">
        <v>-398.91181413342798</v>
      </c>
      <c r="AD73">
        <v>-35.411814133428202</v>
      </c>
      <c r="AE73">
        <v>-257.61181413342803</v>
      </c>
      <c r="AF73">
        <v>-479.81181413342802</v>
      </c>
      <c r="AG73">
        <v>3.8790960523287701E-3</v>
      </c>
      <c r="AH73">
        <v>1.02058953963035E-2</v>
      </c>
      <c r="AI73">
        <v>1.26630062754547E-4</v>
      </c>
      <c r="AJ73">
        <v>-4.9005590665711302E-3</v>
      </c>
      <c r="AK73">
        <v>-9.9277481958968197E-3</v>
      </c>
      <c r="AL73">
        <v>-8.8129647060035605E-4</v>
      </c>
      <c r="AM73">
        <v>-6.4112045128586004E-3</v>
      </c>
      <c r="AN73">
        <v>-1.19411125551168E-2</v>
      </c>
    </row>
    <row r="74" spans="1:40" x14ac:dyDescent="0.2">
      <c r="A74" t="s">
        <v>43</v>
      </c>
      <c r="B74">
        <v>2021</v>
      </c>
      <c r="C74" t="s">
        <v>37</v>
      </c>
      <c r="D74">
        <v>41212</v>
      </c>
      <c r="E74">
        <v>1609</v>
      </c>
      <c r="F74">
        <v>493</v>
      </c>
      <c r="G74">
        <v>202</v>
      </c>
      <c r="H74">
        <v>41615</v>
      </c>
      <c r="I74">
        <v>1.2702499999999901</v>
      </c>
      <c r="J74">
        <v>1.13225</v>
      </c>
      <c r="K74">
        <v>8.8400000000000006E-2</v>
      </c>
      <c r="L74">
        <v>0.10730000000000001</v>
      </c>
      <c r="M74">
        <v>7.8299999999999995E-2</v>
      </c>
      <c r="N74">
        <v>2.1025898999999999</v>
      </c>
      <c r="O74">
        <f>Table1[[#This Row],[gas_exp]]/Table1[[#This Row],[gasoline_price]]</f>
        <v>1266.6797874434264</v>
      </c>
      <c r="P74">
        <f>Table1[[#This Row],[oil_exp]]/Table1[[#This Row],[heating_oil_price]]</f>
        <v>178.40582910134688</v>
      </c>
      <c r="S74">
        <v>183.25725275378201</v>
      </c>
      <c r="T74">
        <v>451.23296514551703</v>
      </c>
      <c r="U74">
        <v>500</v>
      </c>
      <c r="V74">
        <v>750</v>
      </c>
      <c r="W74">
        <v>1000</v>
      </c>
      <c r="X74">
        <v>550</v>
      </c>
      <c r="Y74">
        <v>825</v>
      </c>
      <c r="Z74">
        <v>1100</v>
      </c>
      <c r="AA74">
        <v>-48.767034854482098</v>
      </c>
      <c r="AB74">
        <v>-298.76703485448201</v>
      </c>
      <c r="AC74">
        <v>-548.76703485448195</v>
      </c>
      <c r="AD74">
        <v>-98.767034854482105</v>
      </c>
      <c r="AE74">
        <v>-373.76703485448201</v>
      </c>
      <c r="AF74">
        <v>-648.76703485448195</v>
      </c>
      <c r="AG74">
        <v>4.4036345729612496E-3</v>
      </c>
      <c r="AH74">
        <v>1.08430365287881E-2</v>
      </c>
      <c r="AI74">
        <v>-1.1718619453197599E-3</v>
      </c>
      <c r="AJ74">
        <v>-7.1793111823737097E-3</v>
      </c>
      <c r="AK74">
        <v>-1.3186760419427601E-2</v>
      </c>
      <c r="AL74">
        <v>-2.3733517927305501E-3</v>
      </c>
      <c r="AM74">
        <v>-8.9815459534899004E-3</v>
      </c>
      <c r="AN74">
        <v>-1.55897401142492E-2</v>
      </c>
    </row>
    <row r="75" spans="1:40" x14ac:dyDescent="0.2">
      <c r="A75" t="s">
        <v>43</v>
      </c>
      <c r="B75">
        <v>2022</v>
      </c>
      <c r="C75" t="s">
        <v>37</v>
      </c>
      <c r="D75">
        <v>45920</v>
      </c>
      <c r="E75">
        <v>1454</v>
      </c>
      <c r="F75">
        <v>485.5</v>
      </c>
      <c r="G75">
        <v>202</v>
      </c>
      <c r="H75">
        <v>40643.5</v>
      </c>
      <c r="I75">
        <v>1.651875</v>
      </c>
      <c r="J75">
        <v>1.74491666666666</v>
      </c>
      <c r="K75">
        <v>0.1105</v>
      </c>
      <c r="L75">
        <v>0.1341</v>
      </c>
      <c r="M75">
        <v>9.7900000000000001E-2</v>
      </c>
      <c r="N75">
        <v>2.6289087000000002</v>
      </c>
      <c r="O75">
        <f>Table1[[#This Row],[gas_exp]]/Table1[[#This Row],[gasoline_price]]</f>
        <v>880.21188043889515</v>
      </c>
      <c r="P75">
        <f>Table1[[#This Row],[oil_exp]]/Table1[[#This Row],[heating_oil_price]]</f>
        <v>115.7648407278289</v>
      </c>
      <c r="S75">
        <v>176.987137174754</v>
      </c>
      <c r="T75">
        <v>405.93534307243601</v>
      </c>
      <c r="U75">
        <v>550</v>
      </c>
      <c r="V75">
        <v>825</v>
      </c>
      <c r="W75">
        <v>1101</v>
      </c>
      <c r="X75">
        <v>605</v>
      </c>
      <c r="Y75">
        <v>907.5</v>
      </c>
      <c r="Z75">
        <v>1211.0999999999999</v>
      </c>
      <c r="AA75">
        <v>-144.06465692756299</v>
      </c>
      <c r="AB75">
        <v>-419.06465692756302</v>
      </c>
      <c r="AC75">
        <v>-695.06465692756296</v>
      </c>
      <c r="AD75">
        <v>-199.06465692756299</v>
      </c>
      <c r="AE75">
        <v>-501.56465692756399</v>
      </c>
      <c r="AF75">
        <v>-805.16465692756401</v>
      </c>
      <c r="AG75">
        <v>4.3546234250188701E-3</v>
      </c>
      <c r="AH75">
        <v>9.9877063508909403E-3</v>
      </c>
      <c r="AI75">
        <v>-3.5445927867325299E-3</v>
      </c>
      <c r="AJ75">
        <v>-1.0310742355544199E-2</v>
      </c>
      <c r="AK75">
        <v>-1.7101496104606199E-2</v>
      </c>
      <c r="AL75">
        <v>-4.8978227004948796E-3</v>
      </c>
      <c r="AM75">
        <v>-1.2340587226187799E-2</v>
      </c>
      <c r="AN75">
        <v>-1.9810416350155902E-2</v>
      </c>
    </row>
    <row r="76" spans="1:40" x14ac:dyDescent="0.2">
      <c r="A76" t="s">
        <v>43</v>
      </c>
      <c r="B76">
        <v>2023</v>
      </c>
      <c r="C76" t="s">
        <v>37</v>
      </c>
      <c r="D76">
        <v>45995</v>
      </c>
      <c r="E76">
        <v>1299</v>
      </c>
      <c r="F76">
        <v>478</v>
      </c>
      <c r="G76">
        <v>202</v>
      </c>
      <c r="H76">
        <v>39672</v>
      </c>
      <c r="I76">
        <v>1.52866666666666</v>
      </c>
      <c r="J76">
        <v>1.6768749999999999</v>
      </c>
      <c r="K76">
        <v>0.1431</v>
      </c>
      <c r="L76">
        <v>0.17380000000000001</v>
      </c>
      <c r="M76">
        <v>0.1239</v>
      </c>
      <c r="N76">
        <v>3.3270867000000002</v>
      </c>
      <c r="O76">
        <f>Table1[[#This Row],[gas_exp]]/Table1[[#This Row],[gasoline_price]]</f>
        <v>849.76013955517158</v>
      </c>
      <c r="P76">
        <f>Table1[[#This Row],[oil_exp]]/Table1[[#This Row],[heating_oil_price]]</f>
        <v>120.46216921356691</v>
      </c>
      <c r="S76">
        <v>222.531477342442</v>
      </c>
      <c r="T76">
        <v>454.08169666667499</v>
      </c>
      <c r="U76">
        <v>680</v>
      </c>
      <c r="V76">
        <v>1020</v>
      </c>
      <c r="W76">
        <v>1360</v>
      </c>
      <c r="X76">
        <v>748</v>
      </c>
      <c r="Y76">
        <v>1122</v>
      </c>
      <c r="Z76">
        <v>1496</v>
      </c>
      <c r="AA76">
        <v>-225.91830333332399</v>
      </c>
      <c r="AB76">
        <v>-565.91830333332405</v>
      </c>
      <c r="AC76">
        <v>-905.91830333332405</v>
      </c>
      <c r="AD76">
        <v>-293.91830333332399</v>
      </c>
      <c r="AE76">
        <v>-667.91830333332405</v>
      </c>
      <c r="AF76">
        <v>-1041.91830333332</v>
      </c>
      <c r="AG76">
        <v>5.6092830546088501E-3</v>
      </c>
      <c r="AH76">
        <v>1.14458987867179E-2</v>
      </c>
      <c r="AI76">
        <v>-5.6946537440341798E-3</v>
      </c>
      <c r="AJ76">
        <v>-1.42649300094102E-2</v>
      </c>
      <c r="AK76">
        <v>-2.2835206274786302E-2</v>
      </c>
      <c r="AL76">
        <v>-7.4087089971094002E-3</v>
      </c>
      <c r="AM76">
        <v>-1.6836012889022998E-2</v>
      </c>
      <c r="AN76">
        <v>-2.6263316780936699E-2</v>
      </c>
    </row>
    <row r="77" spans="1:40" x14ac:dyDescent="0.2">
      <c r="A77" t="s">
        <v>43</v>
      </c>
      <c r="B77">
        <v>2024</v>
      </c>
      <c r="C77" t="s">
        <v>37</v>
      </c>
      <c r="D77">
        <v>45681</v>
      </c>
      <c r="E77">
        <v>1299</v>
      </c>
      <c r="F77">
        <v>478</v>
      </c>
      <c r="G77">
        <v>202</v>
      </c>
      <c r="H77">
        <v>39672</v>
      </c>
      <c r="I77">
        <v>1.49741666666666</v>
      </c>
      <c r="J77">
        <v>1.4333750000000001</v>
      </c>
      <c r="K77">
        <v>0.17610000000000001</v>
      </c>
      <c r="L77">
        <v>0.21390000000000001</v>
      </c>
      <c r="M77">
        <v>0.1525</v>
      </c>
      <c r="N77">
        <v>4.0950825000000002</v>
      </c>
      <c r="O77">
        <f>Table1[[#This Row],[gas_exp]]/Table1[[#This Row],[gasoline_price]]</f>
        <v>867.4940174745434</v>
      </c>
      <c r="P77">
        <f>Table1[[#This Row],[oil_exp]]/Table1[[#This Row],[heating_oil_price]]</f>
        <v>140.92613586814335</v>
      </c>
      <c r="S77">
        <v>281.369503519962</v>
      </c>
      <c r="T77">
        <v>502.93931608058699</v>
      </c>
      <c r="U77">
        <v>752</v>
      </c>
      <c r="V77">
        <v>1128</v>
      </c>
      <c r="W77">
        <v>1504</v>
      </c>
      <c r="X77">
        <v>902.4</v>
      </c>
      <c r="Y77">
        <v>1353.6</v>
      </c>
      <c r="Z77">
        <v>1804.8</v>
      </c>
      <c r="AA77">
        <v>-249.06068391941201</v>
      </c>
      <c r="AB77">
        <v>-625.06068391941199</v>
      </c>
      <c r="AC77">
        <v>-1001.0606839194101</v>
      </c>
      <c r="AD77">
        <v>-399.46068391941202</v>
      </c>
      <c r="AE77">
        <v>-850.66068391941201</v>
      </c>
      <c r="AF77">
        <v>-1301.8606839194099</v>
      </c>
      <c r="AG77">
        <v>7.0923952288758302E-3</v>
      </c>
      <c r="AH77">
        <v>1.2677437892735101E-2</v>
      </c>
      <c r="AI77">
        <v>-6.2779966706849304E-3</v>
      </c>
      <c r="AJ77">
        <v>-1.57557139523949E-2</v>
      </c>
      <c r="AK77">
        <v>-2.5233431234104899E-2</v>
      </c>
      <c r="AL77">
        <v>-1.00690835833689E-2</v>
      </c>
      <c r="AM77">
        <v>-2.1442344321420899E-2</v>
      </c>
      <c r="AN77">
        <v>-3.2815605059473001E-2</v>
      </c>
    </row>
    <row r="78" spans="1:40" x14ac:dyDescent="0.2">
      <c r="A78" t="s">
        <v>43</v>
      </c>
      <c r="B78">
        <v>2025</v>
      </c>
      <c r="C78" t="s">
        <v>37</v>
      </c>
      <c r="D78">
        <v>45681</v>
      </c>
      <c r="E78">
        <v>1299</v>
      </c>
      <c r="F78">
        <v>478</v>
      </c>
      <c r="G78">
        <v>202</v>
      </c>
      <c r="H78">
        <v>39672</v>
      </c>
      <c r="I78">
        <v>1.37879166666666</v>
      </c>
      <c r="J78">
        <v>1.2946249999999999</v>
      </c>
      <c r="K78">
        <v>0</v>
      </c>
      <c r="L78">
        <v>0</v>
      </c>
      <c r="M78">
        <v>0</v>
      </c>
      <c r="N78">
        <v>0</v>
      </c>
      <c r="O78">
        <f>Table1[[#This Row],[gas_exp]]/Table1[[#This Row],[gasoline_price]]</f>
        <v>942.12927986462034</v>
      </c>
      <c r="P78">
        <f>Table1[[#This Row],[oil_exp]]/Table1[[#This Row],[heating_oil_price]]</f>
        <v>156.02973834121852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</row>
    <row r="79" spans="1:40" x14ac:dyDescent="0.2">
      <c r="A79" t="s">
        <v>43</v>
      </c>
      <c r="B79">
        <v>2019</v>
      </c>
      <c r="C79" t="s">
        <v>38</v>
      </c>
      <c r="D79">
        <v>84008</v>
      </c>
      <c r="E79">
        <v>2164</v>
      </c>
      <c r="F79">
        <v>630</v>
      </c>
      <c r="G79">
        <v>130</v>
      </c>
      <c r="H79">
        <v>58991</v>
      </c>
      <c r="I79">
        <v>1.11154166666666</v>
      </c>
      <c r="J79">
        <v>1.1245833333333299</v>
      </c>
      <c r="K79">
        <v>4.4200000000000003E-2</v>
      </c>
      <c r="L79">
        <v>5.3699999999999998E-2</v>
      </c>
      <c r="M79">
        <v>3.9100000000000003E-2</v>
      </c>
      <c r="N79">
        <v>1.0499522999999999</v>
      </c>
      <c r="O79">
        <f>Table1[[#This Row],[gas_exp]]/Table1[[#This Row],[gasoline_price]]</f>
        <v>1946.8455973310458</v>
      </c>
      <c r="P79">
        <f>Table1[[#This Row],[oil_exp]]/Table1[[#This Row],[heating_oil_price]]</f>
        <v>115.59836976658056</v>
      </c>
      <c r="S79">
        <v>125.53014629319701</v>
      </c>
      <c r="T79">
        <v>351.44727899262301</v>
      </c>
      <c r="U79">
        <v>305</v>
      </c>
      <c r="V79">
        <v>457</v>
      </c>
      <c r="W79">
        <v>609</v>
      </c>
      <c r="X79">
        <v>335.5</v>
      </c>
      <c r="Y79">
        <v>502.7</v>
      </c>
      <c r="Z79">
        <v>669.9</v>
      </c>
      <c r="AA79">
        <v>46.447278992623403</v>
      </c>
      <c r="AB79">
        <v>-105.55272100737599</v>
      </c>
      <c r="AC79">
        <v>-257.55272100737602</v>
      </c>
      <c r="AD79">
        <v>15.947278992623399</v>
      </c>
      <c r="AE79">
        <v>-151.25272100737601</v>
      </c>
      <c r="AF79">
        <v>-318.452721007376</v>
      </c>
      <c r="AG79">
        <v>2.1279542013730398E-3</v>
      </c>
      <c r="AH79">
        <v>5.9576423351464297E-3</v>
      </c>
      <c r="AI79">
        <v>7.8736212291067101E-4</v>
      </c>
      <c r="AJ79">
        <v>-1.78930211400682E-3</v>
      </c>
      <c r="AK79">
        <v>-4.3659663509243198E-3</v>
      </c>
      <c r="AL79">
        <v>2.7033410168709402E-4</v>
      </c>
      <c r="AM79">
        <v>-2.5639965589221501E-3</v>
      </c>
      <c r="AN79">
        <v>-5.3983272195313901E-3</v>
      </c>
    </row>
    <row r="80" spans="1:40" x14ac:dyDescent="0.2">
      <c r="A80" t="s">
        <v>43</v>
      </c>
      <c r="B80">
        <v>2020</v>
      </c>
      <c r="C80" t="s">
        <v>38</v>
      </c>
      <c r="D80">
        <v>104603</v>
      </c>
      <c r="E80">
        <v>1969</v>
      </c>
      <c r="F80">
        <v>683</v>
      </c>
      <c r="G80">
        <v>100.75</v>
      </c>
      <c r="H80">
        <v>58773</v>
      </c>
      <c r="I80">
        <v>0.96683333333333299</v>
      </c>
      <c r="J80">
        <v>0.92245833333333305</v>
      </c>
      <c r="K80">
        <v>6.6299999999999998E-2</v>
      </c>
      <c r="L80">
        <v>8.0500000000000002E-2</v>
      </c>
      <c r="M80">
        <v>5.8700000000000002E-2</v>
      </c>
      <c r="N80">
        <v>1.5762711</v>
      </c>
      <c r="O80">
        <f>Table1[[#This Row],[gas_exp]]/Table1[[#This Row],[gasoline_price]]</f>
        <v>2036.5454232028967</v>
      </c>
      <c r="P80">
        <f>Table1[[#This Row],[oil_exp]]/Table1[[#This Row],[heating_oil_price]]</f>
        <v>109.21902524955964</v>
      </c>
      <c r="S80">
        <v>197.967729104331</v>
      </c>
      <c r="T80">
        <v>520.85277286949895</v>
      </c>
      <c r="U80">
        <v>405</v>
      </c>
      <c r="V80">
        <v>607</v>
      </c>
      <c r="W80">
        <v>809</v>
      </c>
      <c r="X80">
        <v>445.5</v>
      </c>
      <c r="Y80">
        <v>667.7</v>
      </c>
      <c r="Z80">
        <v>889.9</v>
      </c>
      <c r="AA80">
        <v>115.85277286949901</v>
      </c>
      <c r="AB80">
        <v>-86.147227130500397</v>
      </c>
      <c r="AC80">
        <v>-288.14722713050003</v>
      </c>
      <c r="AD80">
        <v>75.352772869499404</v>
      </c>
      <c r="AE80">
        <v>-146.84722713049999</v>
      </c>
      <c r="AF80">
        <v>-369.0472271305</v>
      </c>
      <c r="AG80">
        <v>3.3683448029593701E-3</v>
      </c>
      <c r="AH80">
        <v>8.8621096910060596E-3</v>
      </c>
      <c r="AI80">
        <v>1.9711903913276398E-3</v>
      </c>
      <c r="AJ80">
        <v>-1.4657619507341801E-3</v>
      </c>
      <c r="AK80">
        <v>-4.9027142927960199E-3</v>
      </c>
      <c r="AL80">
        <v>1.28209846135979E-3</v>
      </c>
      <c r="AM80">
        <v>-2.4985491149082102E-3</v>
      </c>
      <c r="AN80">
        <v>-6.2791966911762299E-3</v>
      </c>
    </row>
    <row r="81" spans="1:40" x14ac:dyDescent="0.2">
      <c r="A81" t="s">
        <v>43</v>
      </c>
      <c r="B81">
        <v>2021</v>
      </c>
      <c r="C81" t="s">
        <v>38</v>
      </c>
      <c r="D81">
        <v>116864</v>
      </c>
      <c r="E81">
        <v>1774</v>
      </c>
      <c r="F81">
        <v>736</v>
      </c>
      <c r="G81">
        <v>71.5</v>
      </c>
      <c r="H81">
        <v>58555</v>
      </c>
      <c r="I81">
        <v>1.2702499999999901</v>
      </c>
      <c r="J81">
        <v>1.13225</v>
      </c>
      <c r="K81">
        <v>8.8400000000000006E-2</v>
      </c>
      <c r="L81">
        <v>0.10730000000000001</v>
      </c>
      <c r="M81">
        <v>7.8299999999999995E-2</v>
      </c>
      <c r="N81">
        <v>2.1025898999999999</v>
      </c>
      <c r="O81">
        <f>Table1[[#This Row],[gas_exp]]/Table1[[#This Row],[gasoline_price]]</f>
        <v>1396.5754772682651</v>
      </c>
      <c r="P81">
        <f>Table1[[#This Row],[oil_exp]]/Table1[[#This Row],[heating_oil_price]]</f>
        <v>63.148597924486644</v>
      </c>
      <c r="S81">
        <v>208.072676917731</v>
      </c>
      <c r="T81">
        <v>512.33579877735599</v>
      </c>
      <c r="U81">
        <v>500</v>
      </c>
      <c r="V81">
        <v>750</v>
      </c>
      <c r="W81">
        <v>1000</v>
      </c>
      <c r="X81">
        <v>550</v>
      </c>
      <c r="Y81">
        <v>825</v>
      </c>
      <c r="Z81">
        <v>1100</v>
      </c>
      <c r="AA81">
        <v>12.335798777356899</v>
      </c>
      <c r="AB81">
        <v>-237.66420122264299</v>
      </c>
      <c r="AC81">
        <v>-487.66420122264299</v>
      </c>
      <c r="AD81">
        <v>-37.664201222643101</v>
      </c>
      <c r="AE81">
        <v>-312.66420122264299</v>
      </c>
      <c r="AF81">
        <v>-587.66420122264299</v>
      </c>
      <c r="AG81">
        <v>3.5534570389843898E-3</v>
      </c>
      <c r="AH81">
        <v>8.7496507348195102E-3</v>
      </c>
      <c r="AI81">
        <v>2.1067028908473899E-4</v>
      </c>
      <c r="AJ81">
        <v>-4.0588199337826501E-3</v>
      </c>
      <c r="AK81">
        <v>-8.3283101566500404E-3</v>
      </c>
      <c r="AL81">
        <v>-6.4322775548873799E-4</v>
      </c>
      <c r="AM81">
        <v>-5.3396670006428696E-3</v>
      </c>
      <c r="AN81">
        <v>-1.00361062457969E-2</v>
      </c>
    </row>
    <row r="82" spans="1:40" x14ac:dyDescent="0.2">
      <c r="A82" t="s">
        <v>43</v>
      </c>
      <c r="B82">
        <v>2022</v>
      </c>
      <c r="C82" t="s">
        <v>38</v>
      </c>
      <c r="D82">
        <v>112073</v>
      </c>
      <c r="E82">
        <v>2152</v>
      </c>
      <c r="F82">
        <v>804</v>
      </c>
      <c r="G82">
        <v>42.25</v>
      </c>
      <c r="H82">
        <v>59894.5</v>
      </c>
      <c r="I82">
        <v>1.651875</v>
      </c>
      <c r="J82">
        <v>1.74491666666666</v>
      </c>
      <c r="K82">
        <v>0.1105</v>
      </c>
      <c r="L82">
        <v>0.1341</v>
      </c>
      <c r="M82">
        <v>9.7900000000000001E-2</v>
      </c>
      <c r="N82">
        <v>2.6289087000000002</v>
      </c>
      <c r="O82">
        <f>Table1[[#This Row],[gas_exp]]/Table1[[#This Row],[gasoline_price]]</f>
        <v>1302.7620128641695</v>
      </c>
      <c r="P82">
        <f>Table1[[#This Row],[oil_exp]]/Table1[[#This Row],[heating_oil_price]]</f>
        <v>24.213190696785993</v>
      </c>
      <c r="S82">
        <v>253.518413812369</v>
      </c>
      <c r="T82">
        <v>581.46646094676396</v>
      </c>
      <c r="U82">
        <v>550</v>
      </c>
      <c r="V82">
        <v>825</v>
      </c>
      <c r="W82">
        <v>1101</v>
      </c>
      <c r="X82">
        <v>605</v>
      </c>
      <c r="Y82">
        <v>907.5</v>
      </c>
      <c r="Z82">
        <v>1211.0999999999999</v>
      </c>
      <c r="AA82">
        <v>31.4664609467644</v>
      </c>
      <c r="AB82">
        <v>-243.53353905323499</v>
      </c>
      <c r="AC82">
        <v>-519.53353905323502</v>
      </c>
      <c r="AD82">
        <v>-23.533539053235501</v>
      </c>
      <c r="AE82">
        <v>-326.03353905323502</v>
      </c>
      <c r="AF82">
        <v>-629.63353905323504</v>
      </c>
      <c r="AG82">
        <v>4.2327494813775802E-3</v>
      </c>
      <c r="AH82">
        <v>9.7081778952452097E-3</v>
      </c>
      <c r="AI82">
        <v>5.2536478218808704E-4</v>
      </c>
      <c r="AJ82">
        <v>-4.0660417743404696E-3</v>
      </c>
      <c r="AK82">
        <v>-8.6741443547109602E-3</v>
      </c>
      <c r="AL82">
        <v>-3.92916529117624E-4</v>
      </c>
      <c r="AM82">
        <v>-5.4434637412990403E-3</v>
      </c>
      <c r="AN82">
        <v>-1.05123765797065E-2</v>
      </c>
    </row>
    <row r="83" spans="1:40" x14ac:dyDescent="0.2">
      <c r="A83" t="s">
        <v>43</v>
      </c>
      <c r="B83">
        <v>2023</v>
      </c>
      <c r="C83" t="s">
        <v>38</v>
      </c>
      <c r="D83">
        <v>125575</v>
      </c>
      <c r="E83">
        <v>2530</v>
      </c>
      <c r="F83">
        <v>872</v>
      </c>
      <c r="G83">
        <v>13</v>
      </c>
      <c r="H83">
        <v>61234</v>
      </c>
      <c r="I83">
        <v>1.52866666666666</v>
      </c>
      <c r="J83">
        <v>1.6768749999999999</v>
      </c>
      <c r="K83">
        <v>0.1431</v>
      </c>
      <c r="L83">
        <v>0.17380000000000001</v>
      </c>
      <c r="M83">
        <v>0.1239</v>
      </c>
      <c r="N83">
        <v>3.3270867000000002</v>
      </c>
      <c r="O83">
        <f>Table1[[#This Row],[gas_exp]]/Table1[[#This Row],[gasoline_price]]</f>
        <v>1655.0370693414814</v>
      </c>
      <c r="P83">
        <f>Table1[[#This Row],[oil_exp]]/Table1[[#This Row],[heating_oil_price]]</f>
        <v>7.752515840477078</v>
      </c>
      <c r="S83">
        <v>384.11453787655898</v>
      </c>
      <c r="T83">
        <v>783.79644604128998</v>
      </c>
      <c r="U83">
        <v>680</v>
      </c>
      <c r="V83">
        <v>1020</v>
      </c>
      <c r="W83">
        <v>1360</v>
      </c>
      <c r="X83">
        <v>748</v>
      </c>
      <c r="Y83">
        <v>1122</v>
      </c>
      <c r="Z83">
        <v>1496</v>
      </c>
      <c r="AA83">
        <v>103.79644604129</v>
      </c>
      <c r="AB83">
        <v>-236.20355395870899</v>
      </c>
      <c r="AC83">
        <v>-576.20355395870899</v>
      </c>
      <c r="AD83">
        <v>35.796446041290601</v>
      </c>
      <c r="AE83">
        <v>-338.20355395870899</v>
      </c>
      <c r="AF83">
        <v>-712.20355395870899</v>
      </c>
      <c r="AG83">
        <v>6.2728963954103902E-3</v>
      </c>
      <c r="AH83">
        <v>1.2800020348846799E-2</v>
      </c>
      <c r="AI83">
        <v>1.69507864979081E-3</v>
      </c>
      <c r="AJ83">
        <v>-3.8573921997372201E-3</v>
      </c>
      <c r="AK83">
        <v>-9.4098630492652595E-3</v>
      </c>
      <c r="AL83">
        <v>5.84584479885205E-4</v>
      </c>
      <c r="AM83">
        <v>-5.5231334545956298E-3</v>
      </c>
      <c r="AN83">
        <v>-1.1630851389076401E-2</v>
      </c>
    </row>
    <row r="84" spans="1:40" x14ac:dyDescent="0.2">
      <c r="A84" t="s">
        <v>43</v>
      </c>
      <c r="B84">
        <v>2024</v>
      </c>
      <c r="C84" t="s">
        <v>38</v>
      </c>
      <c r="D84">
        <v>129613</v>
      </c>
      <c r="E84">
        <v>2530</v>
      </c>
      <c r="F84">
        <v>872</v>
      </c>
      <c r="G84">
        <v>13</v>
      </c>
      <c r="H84">
        <v>61234</v>
      </c>
      <c r="I84">
        <v>1.49741666666666</v>
      </c>
      <c r="J84">
        <v>1.4333750000000001</v>
      </c>
      <c r="K84">
        <v>0.17610000000000001</v>
      </c>
      <c r="L84">
        <v>0.21390000000000001</v>
      </c>
      <c r="M84">
        <v>0.1525</v>
      </c>
      <c r="N84">
        <v>4.0950825000000002</v>
      </c>
      <c r="O84">
        <f>Table1[[#This Row],[gas_exp]]/Table1[[#This Row],[gasoline_price]]</f>
        <v>1689.5764928488027</v>
      </c>
      <c r="P84">
        <f>Table1[[#This Row],[oil_exp]]/Table1[[#This Row],[heating_oil_price]]</f>
        <v>9.0695037934943752</v>
      </c>
      <c r="S84">
        <v>479.09125783410099</v>
      </c>
      <c r="T84">
        <v>856.36085837631003</v>
      </c>
      <c r="U84">
        <v>752</v>
      </c>
      <c r="V84">
        <v>1128</v>
      </c>
      <c r="W84">
        <v>1504</v>
      </c>
      <c r="X84">
        <v>902.4</v>
      </c>
      <c r="Y84">
        <v>1353.6</v>
      </c>
      <c r="Z84">
        <v>1804.8</v>
      </c>
      <c r="AA84">
        <v>104.36085837631001</v>
      </c>
      <c r="AB84">
        <v>-271.639141623689</v>
      </c>
      <c r="AC84">
        <v>-647.63914162368997</v>
      </c>
      <c r="AD84">
        <v>-46.0391416236899</v>
      </c>
      <c r="AE84">
        <v>-497.23914162368902</v>
      </c>
      <c r="AF84">
        <v>-948.43914162368901</v>
      </c>
      <c r="AG84">
        <v>7.8239418923163797E-3</v>
      </c>
      <c r="AH84">
        <v>1.39850550082684E-2</v>
      </c>
      <c r="AI84">
        <v>1.70429595284172E-3</v>
      </c>
      <c r="AJ84">
        <v>-4.4360835748716299E-3</v>
      </c>
      <c r="AK84">
        <v>-1.0576463102585001E-2</v>
      </c>
      <c r="AL84">
        <v>-7.5185585824362098E-4</v>
      </c>
      <c r="AM84">
        <v>-8.1203112914996507E-3</v>
      </c>
      <c r="AN84">
        <v>-1.54887667247556E-2</v>
      </c>
    </row>
    <row r="85" spans="1:40" x14ac:dyDescent="0.2">
      <c r="A85" t="s">
        <v>43</v>
      </c>
      <c r="B85">
        <v>2025</v>
      </c>
      <c r="C85" t="s">
        <v>38</v>
      </c>
      <c r="D85">
        <v>129613</v>
      </c>
      <c r="E85">
        <v>2530</v>
      </c>
      <c r="F85">
        <v>872</v>
      </c>
      <c r="G85">
        <v>13</v>
      </c>
      <c r="H85">
        <v>61234</v>
      </c>
      <c r="I85">
        <v>1.37879166666666</v>
      </c>
      <c r="J85">
        <v>1.2946249999999999</v>
      </c>
      <c r="K85">
        <v>0</v>
      </c>
      <c r="L85">
        <v>0</v>
      </c>
      <c r="M85">
        <v>0</v>
      </c>
      <c r="N85">
        <v>0</v>
      </c>
      <c r="O85">
        <f>Table1[[#This Row],[gas_exp]]/Table1[[#This Row],[gasoline_price]]</f>
        <v>1834.9400139010695</v>
      </c>
      <c r="P85">
        <f>Table1[[#This Row],[oil_exp]]/Table1[[#This Row],[heating_oil_price]]</f>
        <v>10.041517814038816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</row>
    <row r="86" spans="1:40" x14ac:dyDescent="0.2">
      <c r="A86" t="s">
        <v>43</v>
      </c>
      <c r="B86">
        <v>2019</v>
      </c>
      <c r="C86" t="s">
        <v>39</v>
      </c>
      <c r="D86">
        <v>99012</v>
      </c>
      <c r="E86">
        <v>2844</v>
      </c>
      <c r="F86">
        <v>821</v>
      </c>
      <c r="G86">
        <v>77</v>
      </c>
      <c r="H86">
        <v>79056</v>
      </c>
      <c r="I86">
        <v>1.11154166666666</v>
      </c>
      <c r="J86">
        <v>1.1245833333333299</v>
      </c>
      <c r="K86">
        <v>4.4200000000000003E-2</v>
      </c>
      <c r="L86">
        <v>5.3699999999999998E-2</v>
      </c>
      <c r="M86">
        <v>3.9100000000000003E-2</v>
      </c>
      <c r="N86">
        <v>1.0499522999999999</v>
      </c>
      <c r="O86">
        <f>Table1[[#This Row],[gas_exp]]/Table1[[#This Row],[gasoline_price]]</f>
        <v>2558.6085391910788</v>
      </c>
      <c r="P86">
        <f>Table1[[#This Row],[oil_exp]]/Table1[[#This Row],[heating_oil_price]]</f>
        <v>68.469803630974639</v>
      </c>
      <c r="S86">
        <v>160.12647105371801</v>
      </c>
      <c r="T86">
        <v>448.306755056893</v>
      </c>
      <c r="U86">
        <v>305</v>
      </c>
      <c r="V86">
        <v>457</v>
      </c>
      <c r="W86">
        <v>609</v>
      </c>
      <c r="X86">
        <v>335.5</v>
      </c>
      <c r="Y86">
        <v>502.7</v>
      </c>
      <c r="Z86">
        <v>669.9</v>
      </c>
      <c r="AA86">
        <v>143.306755056893</v>
      </c>
      <c r="AB86">
        <v>-8.6932449431060306</v>
      </c>
      <c r="AC86">
        <v>-160.69324494310601</v>
      </c>
      <c r="AD86">
        <v>112.806755056893</v>
      </c>
      <c r="AE86">
        <v>-54.393244943105998</v>
      </c>
      <c r="AF86">
        <v>-221.59324494310599</v>
      </c>
      <c r="AG86">
        <v>2.0254815707057999E-3</v>
      </c>
      <c r="AH86">
        <v>5.6707492797117703E-3</v>
      </c>
      <c r="AI86">
        <v>1.81272458835374E-3</v>
      </c>
      <c r="AJ86">
        <v>-1.09963126683693E-4</v>
      </c>
      <c r="AK86">
        <v>-2.0326508417211299E-3</v>
      </c>
      <c r="AL86">
        <v>1.4269221192179399E-3</v>
      </c>
      <c r="AM86">
        <v>-6.8803436732323999E-4</v>
      </c>
      <c r="AN86">
        <v>-2.8029908538644201E-3</v>
      </c>
    </row>
    <row r="87" spans="1:40" x14ac:dyDescent="0.2">
      <c r="A87" t="s">
        <v>43</v>
      </c>
      <c r="B87">
        <v>2020</v>
      </c>
      <c r="C87" t="s">
        <v>39</v>
      </c>
      <c r="D87">
        <v>101501</v>
      </c>
      <c r="E87">
        <v>2712.5</v>
      </c>
      <c r="F87">
        <v>825.5</v>
      </c>
      <c r="G87">
        <v>67</v>
      </c>
      <c r="H87">
        <v>75430</v>
      </c>
      <c r="I87">
        <v>0.96683333333333299</v>
      </c>
      <c r="J87">
        <v>0.92245833333333305</v>
      </c>
      <c r="K87">
        <v>6.6299999999999998E-2</v>
      </c>
      <c r="L87">
        <v>8.0500000000000002E-2</v>
      </c>
      <c r="M87">
        <v>5.8700000000000002E-2</v>
      </c>
      <c r="N87">
        <v>1.5762711</v>
      </c>
      <c r="O87">
        <f>Table1[[#This Row],[gas_exp]]/Table1[[#This Row],[gasoline_price]]</f>
        <v>2805.55076710912</v>
      </c>
      <c r="P87">
        <f>Table1[[#This Row],[oil_exp]]/Table1[[#This Row],[heating_oil_price]]</f>
        <v>72.632006865712114</v>
      </c>
      <c r="S87">
        <v>257.30584560243898</v>
      </c>
      <c r="T87">
        <v>676.97126073983702</v>
      </c>
      <c r="U87">
        <v>405</v>
      </c>
      <c r="V87">
        <v>607</v>
      </c>
      <c r="W87">
        <v>809</v>
      </c>
      <c r="X87">
        <v>445.5</v>
      </c>
      <c r="Y87">
        <v>667.7</v>
      </c>
      <c r="Z87">
        <v>889.9</v>
      </c>
      <c r="AA87">
        <v>271.97126073983702</v>
      </c>
      <c r="AB87">
        <v>69.971260739837206</v>
      </c>
      <c r="AC87">
        <v>-132.02873926016201</v>
      </c>
      <c r="AD87">
        <v>231.47126073983699</v>
      </c>
      <c r="AE87">
        <v>9.2712607398371993</v>
      </c>
      <c r="AF87">
        <v>-212.92873926016199</v>
      </c>
      <c r="AG87">
        <v>3.4111871351244702E-3</v>
      </c>
      <c r="AH87">
        <v>8.9748277971607691E-3</v>
      </c>
      <c r="AI87">
        <v>3.6056113050488801E-3</v>
      </c>
      <c r="AJ87">
        <v>9.27631721328877E-4</v>
      </c>
      <c r="AK87">
        <v>-1.7503478623911201E-3</v>
      </c>
      <c r="AL87">
        <v>3.06868965583769E-3</v>
      </c>
      <c r="AM87">
        <v>1.22912113745687E-4</v>
      </c>
      <c r="AN87">
        <v>-2.8228654283463102E-3</v>
      </c>
    </row>
    <row r="88" spans="1:40" x14ac:dyDescent="0.2">
      <c r="A88" t="s">
        <v>43</v>
      </c>
      <c r="B88">
        <v>2021</v>
      </c>
      <c r="C88" t="s">
        <v>39</v>
      </c>
      <c r="D88">
        <v>116773</v>
      </c>
      <c r="E88">
        <v>2581</v>
      </c>
      <c r="F88">
        <v>830</v>
      </c>
      <c r="G88">
        <v>57</v>
      </c>
      <c r="H88">
        <v>71804</v>
      </c>
      <c r="I88">
        <v>1.2702499999999901</v>
      </c>
      <c r="J88">
        <v>1.13225</v>
      </c>
      <c r="K88">
        <v>8.8400000000000006E-2</v>
      </c>
      <c r="L88">
        <v>0.10730000000000001</v>
      </c>
      <c r="M88">
        <v>7.8299999999999995E-2</v>
      </c>
      <c r="N88">
        <v>2.1025898999999999</v>
      </c>
      <c r="O88">
        <f>Table1[[#This Row],[gas_exp]]/Table1[[#This Row],[gasoline_price]]</f>
        <v>2031.8834875024759</v>
      </c>
      <c r="P88">
        <f>Table1[[#This Row],[oil_exp]]/Table1[[#This Row],[heating_oil_price]]</f>
        <v>50.342238904835504</v>
      </c>
      <c r="S88">
        <v>272.80124826480602</v>
      </c>
      <c r="T88">
        <v>671.71647670237303</v>
      </c>
      <c r="U88">
        <v>500</v>
      </c>
      <c r="V88">
        <v>750</v>
      </c>
      <c r="W88">
        <v>1000</v>
      </c>
      <c r="X88">
        <v>550</v>
      </c>
      <c r="Y88">
        <v>825</v>
      </c>
      <c r="Z88">
        <v>1100</v>
      </c>
      <c r="AA88">
        <v>171.716476702373</v>
      </c>
      <c r="AB88">
        <v>-78.283523297626601</v>
      </c>
      <c r="AC88">
        <v>-328.283523297626</v>
      </c>
      <c r="AD88">
        <v>121.716476702373</v>
      </c>
      <c r="AE88">
        <v>-153.283523297626</v>
      </c>
      <c r="AF88">
        <v>-428.283523297626</v>
      </c>
      <c r="AG88">
        <v>3.7992486249346299E-3</v>
      </c>
      <c r="AH88">
        <v>9.3548615216752992E-3</v>
      </c>
      <c r="AI88">
        <v>2.3914611540077602E-3</v>
      </c>
      <c r="AJ88">
        <v>-1.090239029826E-3</v>
      </c>
      <c r="AK88">
        <v>-4.5719392136597701E-3</v>
      </c>
      <c r="AL88">
        <v>1.6951211172410001E-3</v>
      </c>
      <c r="AM88">
        <v>-2.1347490849761399E-3</v>
      </c>
      <c r="AN88">
        <v>-5.9646192871932796E-3</v>
      </c>
    </row>
    <row r="89" spans="1:40" x14ac:dyDescent="0.2">
      <c r="A89" t="s">
        <v>43</v>
      </c>
      <c r="B89">
        <v>2022</v>
      </c>
      <c r="C89" t="s">
        <v>39</v>
      </c>
      <c r="D89">
        <v>114251</v>
      </c>
      <c r="E89">
        <v>2954</v>
      </c>
      <c r="F89">
        <v>826</v>
      </c>
      <c r="G89">
        <v>47</v>
      </c>
      <c r="H89">
        <v>74597.5</v>
      </c>
      <c r="I89">
        <v>1.651875</v>
      </c>
      <c r="J89">
        <v>1.74491666666666</v>
      </c>
      <c r="K89">
        <v>0.1105</v>
      </c>
      <c r="L89">
        <v>0.1341</v>
      </c>
      <c r="M89">
        <v>9.7900000000000001E-2</v>
      </c>
      <c r="N89">
        <v>2.6289087000000002</v>
      </c>
      <c r="O89">
        <f>Table1[[#This Row],[gas_exp]]/Table1[[#This Row],[gasoline_price]]</f>
        <v>1788.2709042754445</v>
      </c>
      <c r="P89">
        <f>Table1[[#This Row],[oil_exp]]/Table1[[#This Row],[heating_oil_price]]</f>
        <v>26.935383733702764</v>
      </c>
      <c r="S89">
        <v>310.441342766986</v>
      </c>
      <c r="T89">
        <v>712.02413345753303</v>
      </c>
      <c r="U89">
        <v>550</v>
      </c>
      <c r="V89">
        <v>825</v>
      </c>
      <c r="W89">
        <v>1101</v>
      </c>
      <c r="X89">
        <v>605</v>
      </c>
      <c r="Y89">
        <v>907.5</v>
      </c>
      <c r="Z89">
        <v>1211.0999999999999</v>
      </c>
      <c r="AA89">
        <v>162.024133457533</v>
      </c>
      <c r="AB89">
        <v>-112.97586654246599</v>
      </c>
      <c r="AC89">
        <v>-388.97586654246601</v>
      </c>
      <c r="AD89">
        <v>107.024133457533</v>
      </c>
      <c r="AE89">
        <v>-195.47586654246601</v>
      </c>
      <c r="AF89">
        <v>-499.075866542467</v>
      </c>
      <c r="AG89">
        <v>4.1615515636178897E-3</v>
      </c>
      <c r="AH89">
        <v>9.54487929833483E-3</v>
      </c>
      <c r="AI89">
        <v>2.1719780616982201E-3</v>
      </c>
      <c r="AJ89">
        <v>-1.5144725566200801E-3</v>
      </c>
      <c r="AK89">
        <v>-5.2143284499140902E-3</v>
      </c>
      <c r="AL89">
        <v>1.43468793803456E-3</v>
      </c>
      <c r="AM89">
        <v>-2.6204077421155799E-3</v>
      </c>
      <c r="AN89">
        <v>-6.6902492247389901E-3</v>
      </c>
    </row>
    <row r="90" spans="1:40" x14ac:dyDescent="0.2">
      <c r="A90" t="s">
        <v>43</v>
      </c>
      <c r="B90">
        <v>2023</v>
      </c>
      <c r="C90" t="s">
        <v>39</v>
      </c>
      <c r="D90">
        <v>115475</v>
      </c>
      <c r="E90">
        <v>3327</v>
      </c>
      <c r="F90">
        <v>822</v>
      </c>
      <c r="G90">
        <v>37</v>
      </c>
      <c r="H90">
        <v>77391</v>
      </c>
      <c r="I90">
        <v>1.52866666666666</v>
      </c>
      <c r="J90">
        <v>1.6768749999999999</v>
      </c>
      <c r="K90">
        <v>0.1431</v>
      </c>
      <c r="L90">
        <v>0.17380000000000001</v>
      </c>
      <c r="M90">
        <v>0.1239</v>
      </c>
      <c r="N90">
        <v>3.3270867000000002</v>
      </c>
      <c r="O90">
        <f>Table1[[#This Row],[gas_exp]]/Table1[[#This Row],[gasoline_price]]</f>
        <v>2176.4064544265252</v>
      </c>
      <c r="P90">
        <f>Table1[[#This Row],[oil_exp]]/Table1[[#This Row],[heating_oil_price]]</f>
        <v>22.064852776742455</v>
      </c>
      <c r="S90">
        <v>452.84235799125202</v>
      </c>
      <c r="T90">
        <v>924.03748312323603</v>
      </c>
      <c r="U90">
        <v>680</v>
      </c>
      <c r="V90">
        <v>1020</v>
      </c>
      <c r="W90">
        <v>1360</v>
      </c>
      <c r="X90">
        <v>748</v>
      </c>
      <c r="Y90">
        <v>1122</v>
      </c>
      <c r="Z90">
        <v>1496</v>
      </c>
      <c r="AA90">
        <v>244.037483123236</v>
      </c>
      <c r="AB90">
        <v>-95.962516876763601</v>
      </c>
      <c r="AC90">
        <v>-435.962516876763</v>
      </c>
      <c r="AD90">
        <v>176.037483123236</v>
      </c>
      <c r="AE90">
        <v>-197.962516876763</v>
      </c>
      <c r="AF90">
        <v>-571.96251687676295</v>
      </c>
      <c r="AG90">
        <v>5.8513568501667099E-3</v>
      </c>
      <c r="AH90">
        <v>1.1939857129682201E-2</v>
      </c>
      <c r="AI90">
        <v>3.15330572189578E-3</v>
      </c>
      <c r="AJ90">
        <v>-1.23996998199743E-3</v>
      </c>
      <c r="AK90">
        <v>-5.6332456858906501E-3</v>
      </c>
      <c r="AL90">
        <v>2.2746505811171301E-3</v>
      </c>
      <c r="AM90">
        <v>-2.5579526931654001E-3</v>
      </c>
      <c r="AN90">
        <v>-7.3905559674479404E-3</v>
      </c>
    </row>
    <row r="91" spans="1:40" x14ac:dyDescent="0.2">
      <c r="A91" t="s">
        <v>43</v>
      </c>
      <c r="B91">
        <v>2024</v>
      </c>
      <c r="C91" t="s">
        <v>39</v>
      </c>
      <c r="D91">
        <v>117896</v>
      </c>
      <c r="E91">
        <v>3327</v>
      </c>
      <c r="F91">
        <v>822</v>
      </c>
      <c r="G91">
        <v>37</v>
      </c>
      <c r="H91">
        <v>77391</v>
      </c>
      <c r="I91">
        <v>1.49741666666666</v>
      </c>
      <c r="J91">
        <v>1.4333750000000001</v>
      </c>
      <c r="K91">
        <v>0.17610000000000001</v>
      </c>
      <c r="L91">
        <v>0.21390000000000001</v>
      </c>
      <c r="M91">
        <v>0.1525</v>
      </c>
      <c r="N91">
        <v>4.0950825000000002</v>
      </c>
      <c r="O91">
        <f>Table1[[#This Row],[gas_exp]]/Table1[[#This Row],[gasoline_price]]</f>
        <v>2221.826478935955</v>
      </c>
      <c r="P91">
        <f>Table1[[#This Row],[oil_exp]]/Table1[[#This Row],[heating_oil_price]]</f>
        <v>25.813203104560912</v>
      </c>
      <c r="S91">
        <v>566.10282517918495</v>
      </c>
      <c r="T91">
        <v>1011.89135341637</v>
      </c>
      <c r="U91">
        <v>752</v>
      </c>
      <c r="V91">
        <v>1128</v>
      </c>
      <c r="W91">
        <v>1504</v>
      </c>
      <c r="X91">
        <v>902.4</v>
      </c>
      <c r="Y91">
        <v>1353.6</v>
      </c>
      <c r="Z91">
        <v>1804.8</v>
      </c>
      <c r="AA91">
        <v>259.89135341637302</v>
      </c>
      <c r="AB91">
        <v>-116.108646583626</v>
      </c>
      <c r="AC91">
        <v>-492.10864658362601</v>
      </c>
      <c r="AD91">
        <v>109.491353416373</v>
      </c>
      <c r="AE91">
        <v>-341.70864658362598</v>
      </c>
      <c r="AF91">
        <v>-792.90864658362602</v>
      </c>
      <c r="AG91">
        <v>7.3148405522500699E-3</v>
      </c>
      <c r="AH91">
        <v>1.30750520527758E-2</v>
      </c>
      <c r="AI91">
        <v>3.3581599076943501E-3</v>
      </c>
      <c r="AJ91">
        <v>-1.50028616484638E-3</v>
      </c>
      <c r="AK91">
        <v>-6.3587322373871097E-3</v>
      </c>
      <c r="AL91">
        <v>1.41478147867805E-3</v>
      </c>
      <c r="AM91">
        <v>-4.4153538083708203E-3</v>
      </c>
      <c r="AN91">
        <v>-1.02454890954197E-2</v>
      </c>
    </row>
    <row r="92" spans="1:40" x14ac:dyDescent="0.2">
      <c r="A92" t="s">
        <v>43</v>
      </c>
      <c r="B92">
        <v>2025</v>
      </c>
      <c r="C92" t="s">
        <v>39</v>
      </c>
      <c r="D92">
        <v>117896</v>
      </c>
      <c r="E92">
        <v>3327</v>
      </c>
      <c r="F92">
        <v>822</v>
      </c>
      <c r="G92">
        <v>37</v>
      </c>
      <c r="H92">
        <v>77391</v>
      </c>
      <c r="I92">
        <v>1.37879166666666</v>
      </c>
      <c r="J92">
        <v>1.2946249999999999</v>
      </c>
      <c r="K92">
        <v>0</v>
      </c>
      <c r="L92">
        <v>0</v>
      </c>
      <c r="M92">
        <v>0</v>
      </c>
      <c r="N92">
        <v>0</v>
      </c>
      <c r="O92">
        <f>Table1[[#This Row],[gas_exp]]/Table1[[#This Row],[gasoline_price]]</f>
        <v>2412.9823819165449</v>
      </c>
      <c r="P92">
        <f>Table1[[#This Row],[oil_exp]]/Table1[[#This Row],[heating_oil_price]]</f>
        <v>28.579704547648934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</row>
    <row r="93" spans="1:40" x14ac:dyDescent="0.2">
      <c r="A93" t="s">
        <v>43</v>
      </c>
      <c r="B93">
        <v>2019</v>
      </c>
      <c r="C93" t="s">
        <v>40</v>
      </c>
      <c r="D93">
        <v>112092</v>
      </c>
      <c r="E93">
        <v>3868</v>
      </c>
      <c r="F93">
        <v>1059</v>
      </c>
      <c r="G93">
        <v>118</v>
      </c>
      <c r="H93">
        <v>117870</v>
      </c>
      <c r="I93">
        <v>1.11154166666666</v>
      </c>
      <c r="J93">
        <v>1.1245833333333299</v>
      </c>
      <c r="K93">
        <v>4.4200000000000003E-2</v>
      </c>
      <c r="L93">
        <v>5.3699999999999998E-2</v>
      </c>
      <c r="M93">
        <v>3.9100000000000003E-2</v>
      </c>
      <c r="N93">
        <v>1.0499522999999999</v>
      </c>
      <c r="O93">
        <f>Table1[[#This Row],[gas_exp]]/Table1[[#This Row],[gasoline_price]]</f>
        <v>3479.8515575214815</v>
      </c>
      <c r="P93">
        <f>Table1[[#This Row],[oil_exp]]/Table1[[#This Row],[heating_oil_price]]</f>
        <v>104.9277510188962</v>
      </c>
      <c r="S93">
        <v>215.37260320287299</v>
      </c>
      <c r="T93">
        <v>602.97958379189504</v>
      </c>
      <c r="U93">
        <v>305</v>
      </c>
      <c r="V93">
        <v>457</v>
      </c>
      <c r="W93">
        <v>609</v>
      </c>
      <c r="X93">
        <v>335.5</v>
      </c>
      <c r="Y93">
        <v>502.7</v>
      </c>
      <c r="Z93">
        <v>669.9</v>
      </c>
      <c r="AA93">
        <v>297.97958379189498</v>
      </c>
      <c r="AB93">
        <v>145.97958379189501</v>
      </c>
      <c r="AC93">
        <v>-6.0204162081041597</v>
      </c>
      <c r="AD93">
        <v>267.47958379189498</v>
      </c>
      <c r="AE93">
        <v>100.27958379189501</v>
      </c>
      <c r="AF93">
        <v>-66.9204162081042</v>
      </c>
      <c r="AG93">
        <v>1.8272045745556301E-3</v>
      </c>
      <c r="AH93">
        <v>5.1156323389487997E-3</v>
      </c>
      <c r="AI93">
        <v>2.5280358343250601E-3</v>
      </c>
      <c r="AJ93">
        <v>1.2384795434961799E-3</v>
      </c>
      <c r="AK93" s="1">
        <v>-5.1076747332689897E-5</v>
      </c>
      <c r="AL93">
        <v>2.26927618386269E-3</v>
      </c>
      <c r="AM93">
        <v>8.5076426395092703E-4</v>
      </c>
      <c r="AN93">
        <v>-5.6774765596083996E-4</v>
      </c>
    </row>
    <row r="94" spans="1:40" x14ac:dyDescent="0.2">
      <c r="A94" t="s">
        <v>43</v>
      </c>
      <c r="B94">
        <v>2020</v>
      </c>
      <c r="C94" t="s">
        <v>40</v>
      </c>
      <c r="D94">
        <v>97553</v>
      </c>
      <c r="E94">
        <v>3520</v>
      </c>
      <c r="F94">
        <v>1042.5</v>
      </c>
      <c r="G94">
        <v>86.5</v>
      </c>
      <c r="H94">
        <v>113386.5</v>
      </c>
      <c r="I94">
        <v>0.96683333333333299</v>
      </c>
      <c r="J94">
        <v>0.92245833333333305</v>
      </c>
      <c r="K94">
        <v>6.6299999999999998E-2</v>
      </c>
      <c r="L94">
        <v>8.0500000000000002E-2</v>
      </c>
      <c r="M94">
        <v>5.8700000000000002E-2</v>
      </c>
      <c r="N94">
        <v>1.5762711</v>
      </c>
      <c r="O94">
        <f>Table1[[#This Row],[gas_exp]]/Table1[[#This Row],[gasoline_price]]</f>
        <v>3640.7515945526648</v>
      </c>
      <c r="P94">
        <f>Table1[[#This Row],[oil_exp]]/Table1[[#This Row],[heating_oil_price]]</f>
        <v>93.771173043046232</v>
      </c>
      <c r="S94">
        <v>331.586520022831</v>
      </c>
      <c r="T94">
        <v>872.40359416872695</v>
      </c>
      <c r="U94">
        <v>405</v>
      </c>
      <c r="V94">
        <v>607</v>
      </c>
      <c r="W94">
        <v>809</v>
      </c>
      <c r="X94">
        <v>445.5</v>
      </c>
      <c r="Y94">
        <v>667.7</v>
      </c>
      <c r="Z94">
        <v>889.9</v>
      </c>
      <c r="AA94">
        <v>467.40359416872701</v>
      </c>
      <c r="AB94">
        <v>265.40359416872701</v>
      </c>
      <c r="AC94">
        <v>63.403594168726997</v>
      </c>
      <c r="AD94">
        <v>426.90359416872701</v>
      </c>
      <c r="AE94">
        <v>204.70359416872699</v>
      </c>
      <c r="AF94">
        <v>-17.496405831273002</v>
      </c>
      <c r="AG94">
        <v>2.9243915282933298E-3</v>
      </c>
      <c r="AH94">
        <v>7.6940693483679799E-3</v>
      </c>
      <c r="AI94">
        <v>4.1222155562498797E-3</v>
      </c>
      <c r="AJ94">
        <v>2.34069835623047E-3</v>
      </c>
      <c r="AK94">
        <v>5.5918115621107496E-4</v>
      </c>
      <c r="AL94">
        <v>3.7650301770380599E-3</v>
      </c>
      <c r="AM94">
        <v>1.8053612570167201E-3</v>
      </c>
      <c r="AN94">
        <v>-1.5430766300461701E-4</v>
      </c>
    </row>
    <row r="95" spans="1:40" x14ac:dyDescent="0.2">
      <c r="A95" t="s">
        <v>43</v>
      </c>
      <c r="B95">
        <v>2021</v>
      </c>
      <c r="C95" t="s">
        <v>40</v>
      </c>
      <c r="D95">
        <v>96090</v>
      </c>
      <c r="E95">
        <v>3172</v>
      </c>
      <c r="F95">
        <v>1026</v>
      </c>
      <c r="G95">
        <v>55</v>
      </c>
      <c r="H95">
        <v>108903</v>
      </c>
      <c r="I95">
        <v>1.2702499999999901</v>
      </c>
      <c r="J95">
        <v>1.13225</v>
      </c>
      <c r="K95">
        <v>8.8400000000000006E-2</v>
      </c>
      <c r="L95">
        <v>0.10730000000000001</v>
      </c>
      <c r="M95">
        <v>7.8299999999999995E-2</v>
      </c>
      <c r="N95">
        <v>2.1025898999999999</v>
      </c>
      <c r="O95">
        <f>Table1[[#This Row],[gas_exp]]/Table1[[#This Row],[gasoline_price]]</f>
        <v>2497.1462310568982</v>
      </c>
      <c r="P95">
        <f>Table1[[#This Row],[oil_exp]]/Table1[[#This Row],[heating_oil_price]]</f>
        <v>48.575844557297415</v>
      </c>
      <c r="S95">
        <v>334.46995398764602</v>
      </c>
      <c r="T95">
        <v>823.56287034765205</v>
      </c>
      <c r="U95">
        <v>500</v>
      </c>
      <c r="V95">
        <v>750</v>
      </c>
      <c r="W95">
        <v>1000</v>
      </c>
      <c r="X95">
        <v>550</v>
      </c>
      <c r="Y95">
        <v>825</v>
      </c>
      <c r="Z95">
        <v>1100</v>
      </c>
      <c r="AA95">
        <v>323.56287034765199</v>
      </c>
      <c r="AB95">
        <v>73.562870347652705</v>
      </c>
      <c r="AC95">
        <v>-176.43712965234701</v>
      </c>
      <c r="AD95">
        <v>273.56287034765199</v>
      </c>
      <c r="AE95">
        <v>-1.43712965234738</v>
      </c>
      <c r="AF95">
        <v>-276.43712965234698</v>
      </c>
      <c r="AG95">
        <v>3.0712648318930199E-3</v>
      </c>
      <c r="AH95">
        <v>7.5623524636387598E-3</v>
      </c>
      <c r="AI95">
        <v>2.9711107163957998E-3</v>
      </c>
      <c r="AJ95">
        <v>6.7548984277432801E-4</v>
      </c>
      <c r="AK95">
        <v>-1.6201310308471501E-3</v>
      </c>
      <c r="AL95">
        <v>2.5119865416715101E-3</v>
      </c>
      <c r="AM95" s="1">
        <v>-1.31964193121161E-5</v>
      </c>
      <c r="AN95">
        <v>-2.5383793802957401E-3</v>
      </c>
    </row>
    <row r="96" spans="1:40" x14ac:dyDescent="0.2">
      <c r="A96" t="s">
        <v>43</v>
      </c>
      <c r="B96">
        <v>2022</v>
      </c>
      <c r="C96" t="s">
        <v>40</v>
      </c>
      <c r="D96">
        <v>97800</v>
      </c>
      <c r="E96">
        <v>3785.5</v>
      </c>
      <c r="F96">
        <v>1012.5</v>
      </c>
      <c r="G96">
        <v>55</v>
      </c>
      <c r="H96">
        <v>110678.5</v>
      </c>
      <c r="I96">
        <v>1.651875</v>
      </c>
      <c r="J96">
        <v>1.74491666666666</v>
      </c>
      <c r="K96">
        <v>0.1105</v>
      </c>
      <c r="L96">
        <v>0.1341</v>
      </c>
      <c r="M96">
        <v>9.7900000000000001E-2</v>
      </c>
      <c r="N96">
        <v>2.6289087000000002</v>
      </c>
      <c r="O96">
        <f>Table1[[#This Row],[gas_exp]]/Table1[[#This Row],[gasoline_price]]</f>
        <v>2291.6382898221718</v>
      </c>
      <c r="P96">
        <f>Table1[[#This Row],[oil_exp]]/Table1[[#This Row],[heating_oil_price]]</f>
        <v>31.52012990114153</v>
      </c>
      <c r="S96">
        <v>391.33991440021799</v>
      </c>
      <c r="T96">
        <v>897.57202102848498</v>
      </c>
      <c r="U96">
        <v>550</v>
      </c>
      <c r="V96">
        <v>825</v>
      </c>
      <c r="W96">
        <v>1101</v>
      </c>
      <c r="X96">
        <v>605</v>
      </c>
      <c r="Y96">
        <v>907.5</v>
      </c>
      <c r="Z96">
        <v>1211.0999999999999</v>
      </c>
      <c r="AA96">
        <v>347.57202102848498</v>
      </c>
      <c r="AB96">
        <v>72.572021028485096</v>
      </c>
      <c r="AC96">
        <v>-203.42797897151399</v>
      </c>
      <c r="AD96">
        <v>292.57202102848498</v>
      </c>
      <c r="AE96">
        <v>-9.9279789715150102</v>
      </c>
      <c r="AF96">
        <v>-313.52797897151498</v>
      </c>
      <c r="AG96">
        <v>3.5358259680083998E-3</v>
      </c>
      <c r="AH96">
        <v>8.1097233973037603E-3</v>
      </c>
      <c r="AI96">
        <v>3.1403752402542899E-3</v>
      </c>
      <c r="AJ96">
        <v>6.5570116172955896E-4</v>
      </c>
      <c r="AK96">
        <v>-1.83800809526253E-3</v>
      </c>
      <c r="AL96">
        <v>2.6434404245493401E-3</v>
      </c>
      <c r="AM96" s="1">
        <v>-8.9701061827861895E-5</v>
      </c>
      <c r="AN96">
        <v>-2.83278124451917E-3</v>
      </c>
    </row>
    <row r="97" spans="1:40" x14ac:dyDescent="0.2">
      <c r="A97" t="s">
        <v>43</v>
      </c>
      <c r="B97">
        <v>2023</v>
      </c>
      <c r="C97" t="s">
        <v>40</v>
      </c>
      <c r="D97">
        <v>94279</v>
      </c>
      <c r="E97">
        <v>4399</v>
      </c>
      <c r="F97">
        <v>999</v>
      </c>
      <c r="G97">
        <v>55</v>
      </c>
      <c r="H97">
        <v>112454</v>
      </c>
      <c r="I97">
        <v>1.52866666666666</v>
      </c>
      <c r="J97">
        <v>1.6768749999999999</v>
      </c>
      <c r="K97">
        <v>0.1431</v>
      </c>
      <c r="L97">
        <v>0.17380000000000001</v>
      </c>
      <c r="M97">
        <v>0.1239</v>
      </c>
      <c r="N97">
        <v>3.3270867000000002</v>
      </c>
      <c r="O97">
        <f>Table1[[#This Row],[gas_exp]]/Table1[[#This Row],[gasoline_price]]</f>
        <v>2877.6711731356427</v>
      </c>
      <c r="P97">
        <f>Table1[[#This Row],[oil_exp]]/Table1[[#This Row],[heating_oil_price]]</f>
        <v>32.799105478941485</v>
      </c>
      <c r="S97">
        <v>584.68033795693805</v>
      </c>
      <c r="T97">
        <v>1193.0565645712099</v>
      </c>
      <c r="U97">
        <v>680</v>
      </c>
      <c r="V97">
        <v>1020</v>
      </c>
      <c r="W97">
        <v>1360</v>
      </c>
      <c r="X97">
        <v>748</v>
      </c>
      <c r="Y97">
        <v>1122</v>
      </c>
      <c r="Z97">
        <v>1496</v>
      </c>
      <c r="AA97">
        <v>513.056564571217</v>
      </c>
      <c r="AB97">
        <v>173.056564571217</v>
      </c>
      <c r="AC97">
        <v>-166.94343542878201</v>
      </c>
      <c r="AD97">
        <v>445.056564571217</v>
      </c>
      <c r="AE97">
        <v>71.056564571217905</v>
      </c>
      <c r="AF97">
        <v>-302.94343542878198</v>
      </c>
      <c r="AG97">
        <v>5.1992844892750703E-3</v>
      </c>
      <c r="AH97">
        <v>1.06092852594947E-2</v>
      </c>
      <c r="AI97">
        <v>4.5623682978926296E-3</v>
      </c>
      <c r="AJ97">
        <v>1.5389098170915899E-3</v>
      </c>
      <c r="AK97">
        <v>-1.4845486637094401E-3</v>
      </c>
      <c r="AL97">
        <v>3.9576766017324202E-3</v>
      </c>
      <c r="AM97">
        <v>6.3187227285127999E-4</v>
      </c>
      <c r="AN97">
        <v>-2.69393205602986E-3</v>
      </c>
    </row>
    <row r="98" spans="1:40" x14ac:dyDescent="0.2">
      <c r="A98" t="s">
        <v>43</v>
      </c>
      <c r="B98">
        <v>2024</v>
      </c>
      <c r="C98" t="s">
        <v>40</v>
      </c>
      <c r="D98">
        <v>97434</v>
      </c>
      <c r="E98">
        <v>4399</v>
      </c>
      <c r="F98">
        <v>999</v>
      </c>
      <c r="G98">
        <v>55</v>
      </c>
      <c r="H98">
        <v>112454</v>
      </c>
      <c r="I98">
        <v>1.49741666666666</v>
      </c>
      <c r="J98">
        <v>1.4333750000000001</v>
      </c>
      <c r="K98">
        <v>0.17610000000000001</v>
      </c>
      <c r="L98">
        <v>0.21390000000000001</v>
      </c>
      <c r="M98">
        <v>0.1525</v>
      </c>
      <c r="N98">
        <v>4.0950825000000002</v>
      </c>
      <c r="O98">
        <f>Table1[[#This Row],[gas_exp]]/Table1[[#This Row],[gasoline_price]]</f>
        <v>2937.726083811021</v>
      </c>
      <c r="P98">
        <f>Table1[[#This Row],[oil_exp]]/Table1[[#This Row],[heating_oil_price]]</f>
        <v>38.370977587860814</v>
      </c>
      <c r="S98">
        <v>731.31778256541099</v>
      </c>
      <c r="T98">
        <v>1307.20799802287</v>
      </c>
      <c r="U98">
        <v>752</v>
      </c>
      <c r="V98">
        <v>1128</v>
      </c>
      <c r="W98">
        <v>1504</v>
      </c>
      <c r="X98">
        <v>902.4</v>
      </c>
      <c r="Y98">
        <v>1353.6</v>
      </c>
      <c r="Z98">
        <v>1804.8</v>
      </c>
      <c r="AA98">
        <v>555.20799802287297</v>
      </c>
      <c r="AB98">
        <v>179.207998022873</v>
      </c>
      <c r="AC98">
        <v>-196.79200197712601</v>
      </c>
      <c r="AD98">
        <v>404.80799802287299</v>
      </c>
      <c r="AE98">
        <v>-46.392001977126398</v>
      </c>
      <c r="AF98">
        <v>-497.59200197712602</v>
      </c>
      <c r="AG98">
        <v>6.5032616231117703E-3</v>
      </c>
      <c r="AH98">
        <v>1.1624379728803501E-2</v>
      </c>
      <c r="AI98">
        <v>4.9372009712671198E-3</v>
      </c>
      <c r="AJ98">
        <v>1.5936115924989099E-3</v>
      </c>
      <c r="AK98">
        <v>-1.7499777862692799E-3</v>
      </c>
      <c r="AL98">
        <v>3.5997652197598401E-3</v>
      </c>
      <c r="AM98">
        <v>-4.1254203476200399E-4</v>
      </c>
      <c r="AN98">
        <v>-4.4248492892838501E-3</v>
      </c>
    </row>
    <row r="99" spans="1:40" x14ac:dyDescent="0.2">
      <c r="A99" t="s">
        <v>43</v>
      </c>
      <c r="B99">
        <v>2025</v>
      </c>
      <c r="C99" t="s">
        <v>40</v>
      </c>
      <c r="D99">
        <v>97434</v>
      </c>
      <c r="E99">
        <v>4399</v>
      </c>
      <c r="F99">
        <v>999</v>
      </c>
      <c r="G99">
        <v>55</v>
      </c>
      <c r="H99">
        <v>112454</v>
      </c>
      <c r="I99">
        <v>1.37879166666666</v>
      </c>
      <c r="J99">
        <v>1.2946249999999999</v>
      </c>
      <c r="K99">
        <v>0</v>
      </c>
      <c r="L99">
        <v>0</v>
      </c>
      <c r="M99">
        <v>0</v>
      </c>
      <c r="N99">
        <v>0</v>
      </c>
      <c r="O99">
        <f>Table1[[#This Row],[gas_exp]]/Table1[[#This Row],[gasoline_price]]</f>
        <v>3190.474751443006</v>
      </c>
      <c r="P99">
        <f>Table1[[#This Row],[oil_exp]]/Table1[[#This Row],[heating_oil_price]]</f>
        <v>42.483344597856522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</row>
    <row r="100" spans="1:40" x14ac:dyDescent="0.2">
      <c r="A100" t="s">
        <v>43</v>
      </c>
      <c r="B100">
        <v>2019</v>
      </c>
      <c r="C100" t="s">
        <v>41</v>
      </c>
      <c r="D100">
        <v>114496</v>
      </c>
      <c r="E100">
        <v>5446</v>
      </c>
      <c r="F100">
        <v>1154</v>
      </c>
      <c r="G100">
        <v>80</v>
      </c>
      <c r="H100">
        <v>184893</v>
      </c>
      <c r="I100">
        <v>1.11154166666666</v>
      </c>
      <c r="J100">
        <v>1.1245833333333299</v>
      </c>
      <c r="K100">
        <v>4.4200000000000003E-2</v>
      </c>
      <c r="L100">
        <v>5.3699999999999998E-2</v>
      </c>
      <c r="M100">
        <v>3.9100000000000003E-2</v>
      </c>
      <c r="N100">
        <v>1.0499522999999999</v>
      </c>
      <c r="O100">
        <f>Table1[[#This Row],[gas_exp]]/Table1[[#This Row],[gasoline_price]]</f>
        <v>4899.501443190793</v>
      </c>
      <c r="P100">
        <f>Table1[[#This Row],[oil_exp]]/Table1[[#This Row],[heating_oil_price]]</f>
        <v>71.137458317895735</v>
      </c>
      <c r="S100">
        <v>281.32378649696199</v>
      </c>
      <c r="T100">
        <v>787.623389279977</v>
      </c>
      <c r="U100">
        <v>305</v>
      </c>
      <c r="V100">
        <v>457</v>
      </c>
      <c r="W100">
        <v>609</v>
      </c>
      <c r="X100">
        <v>335.5</v>
      </c>
      <c r="Y100">
        <v>502.7</v>
      </c>
      <c r="Z100">
        <v>669.9</v>
      </c>
      <c r="AA100">
        <v>482.623389279977</v>
      </c>
      <c r="AB100">
        <v>330.623389279977</v>
      </c>
      <c r="AC100">
        <v>178.623389279977</v>
      </c>
      <c r="AD100">
        <v>452.123389279977</v>
      </c>
      <c r="AE100">
        <v>284.92338927997702</v>
      </c>
      <c r="AF100">
        <v>117.723389279977</v>
      </c>
      <c r="AG100">
        <v>1.5215491473282499E-3</v>
      </c>
      <c r="AH100">
        <v>4.2598875526925102E-3</v>
      </c>
      <c r="AI100">
        <v>2.61028480948428E-3</v>
      </c>
      <c r="AJ100">
        <v>1.78818770467231E-3</v>
      </c>
      <c r="AK100">
        <v>9.6609059986033704E-4</v>
      </c>
      <c r="AL100">
        <v>2.44532453516345E-3</v>
      </c>
      <c r="AM100">
        <v>1.5410177198702799E-3</v>
      </c>
      <c r="AN100">
        <v>6.3671090457711901E-4</v>
      </c>
    </row>
    <row r="101" spans="1:40" x14ac:dyDescent="0.2">
      <c r="A101" t="s">
        <v>43</v>
      </c>
      <c r="B101">
        <v>2020</v>
      </c>
      <c r="C101" t="s">
        <v>41</v>
      </c>
      <c r="D101">
        <v>118538</v>
      </c>
      <c r="E101">
        <v>4712.5</v>
      </c>
      <c r="F101">
        <v>1165.5</v>
      </c>
      <c r="G101">
        <v>80</v>
      </c>
      <c r="H101">
        <v>178888</v>
      </c>
      <c r="I101">
        <v>0.96683333333333299</v>
      </c>
      <c r="J101">
        <v>0.92245833333333305</v>
      </c>
      <c r="K101">
        <v>6.6299999999999998E-2</v>
      </c>
      <c r="L101">
        <v>8.0500000000000002E-2</v>
      </c>
      <c r="M101">
        <v>5.8700000000000002E-2</v>
      </c>
      <c r="N101">
        <v>1.5762711</v>
      </c>
      <c r="O101">
        <f>Table1[[#This Row],[gas_exp]]/Table1[[#This Row],[gasoline_price]]</f>
        <v>4874.1596276504069</v>
      </c>
      <c r="P101">
        <f>Table1[[#This Row],[oil_exp]]/Table1[[#This Row],[heating_oil_price]]</f>
        <v>86.724784317268202</v>
      </c>
      <c r="S101">
        <v>422.54646999337598</v>
      </c>
      <c r="T101">
        <v>1111.71907440672</v>
      </c>
      <c r="U101">
        <v>405</v>
      </c>
      <c r="V101">
        <v>607</v>
      </c>
      <c r="W101">
        <v>809</v>
      </c>
      <c r="X101">
        <v>445.5</v>
      </c>
      <c r="Y101">
        <v>667.7</v>
      </c>
      <c r="Z101">
        <v>889.9</v>
      </c>
      <c r="AA101">
        <v>706.71907440672703</v>
      </c>
      <c r="AB101">
        <v>504.71907440672697</v>
      </c>
      <c r="AC101">
        <v>302.71907440672697</v>
      </c>
      <c r="AD101">
        <v>666.21907440672703</v>
      </c>
      <c r="AE101">
        <v>444.01907440672699</v>
      </c>
      <c r="AF101">
        <v>221.819074406726</v>
      </c>
      <c r="AG101">
        <v>2.3620727493927798E-3</v>
      </c>
      <c r="AH101">
        <v>6.2146095568552696E-3</v>
      </c>
      <c r="AI101">
        <v>3.9506231519538804E-3</v>
      </c>
      <c r="AJ101">
        <v>2.8214249944475099E-3</v>
      </c>
      <c r="AK101">
        <v>1.6922268369411401E-3</v>
      </c>
      <c r="AL101">
        <v>3.7242245114637398E-3</v>
      </c>
      <c r="AM101">
        <v>2.48210653820673E-3</v>
      </c>
      <c r="AN101">
        <v>1.2399885649497201E-3</v>
      </c>
    </row>
    <row r="102" spans="1:40" x14ac:dyDescent="0.2">
      <c r="A102" t="s">
        <v>43</v>
      </c>
      <c r="B102">
        <v>2021</v>
      </c>
      <c r="C102" t="s">
        <v>41</v>
      </c>
      <c r="D102">
        <v>108123</v>
      </c>
      <c r="E102">
        <v>3979</v>
      </c>
      <c r="F102">
        <v>1177</v>
      </c>
      <c r="G102">
        <v>80</v>
      </c>
      <c r="H102">
        <v>172883</v>
      </c>
      <c r="I102">
        <v>1.2702499999999901</v>
      </c>
      <c r="J102">
        <v>1.13225</v>
      </c>
      <c r="K102">
        <v>8.8400000000000006E-2</v>
      </c>
      <c r="L102">
        <v>0.10730000000000001</v>
      </c>
      <c r="M102">
        <v>7.8299999999999995E-2</v>
      </c>
      <c r="N102">
        <v>2.1025898999999999</v>
      </c>
      <c r="O102">
        <f>Table1[[#This Row],[gas_exp]]/Table1[[#This Row],[gasoline_price]]</f>
        <v>3132.4542412911087</v>
      </c>
      <c r="P102">
        <f>Table1[[#This Row],[oil_exp]]/Table1[[#This Row],[heating_oil_price]]</f>
        <v>70.655773901523517</v>
      </c>
      <c r="S102">
        <v>408.97015957845502</v>
      </c>
      <c r="T102">
        <v>1007.00417031005</v>
      </c>
      <c r="U102">
        <v>500</v>
      </c>
      <c r="V102">
        <v>750</v>
      </c>
      <c r="W102">
        <v>1000</v>
      </c>
      <c r="X102">
        <v>550</v>
      </c>
      <c r="Y102">
        <v>825</v>
      </c>
      <c r="Z102">
        <v>1100</v>
      </c>
      <c r="AA102">
        <v>507.00417031004997</v>
      </c>
      <c r="AB102">
        <v>257.00417031004997</v>
      </c>
      <c r="AC102">
        <v>7.0041703100504202</v>
      </c>
      <c r="AD102">
        <v>457.00417031004997</v>
      </c>
      <c r="AE102">
        <v>182.00417031005</v>
      </c>
      <c r="AF102">
        <v>-92.995829689949502</v>
      </c>
      <c r="AG102">
        <v>2.3655892110760099E-3</v>
      </c>
      <c r="AH102">
        <v>5.8247726515044803E-3</v>
      </c>
      <c r="AI102">
        <v>2.93264329234251E-3</v>
      </c>
      <c r="AJ102">
        <v>1.48657861276152E-3</v>
      </c>
      <c r="AK102" s="1">
        <v>4.0513933180534897E-5</v>
      </c>
      <c r="AL102">
        <v>2.6434303564263099E-3</v>
      </c>
      <c r="AM102">
        <v>1.0527592088872199E-3</v>
      </c>
      <c r="AN102">
        <v>-5.3791193865185998E-4</v>
      </c>
    </row>
    <row r="103" spans="1:40" x14ac:dyDescent="0.2">
      <c r="A103" t="s">
        <v>43</v>
      </c>
      <c r="B103">
        <v>2022</v>
      </c>
      <c r="C103" t="s">
        <v>41</v>
      </c>
      <c r="D103">
        <v>117390</v>
      </c>
      <c r="E103">
        <v>4927</v>
      </c>
      <c r="F103">
        <v>1288.5</v>
      </c>
      <c r="G103">
        <v>76.5</v>
      </c>
      <c r="H103">
        <v>174594</v>
      </c>
      <c r="I103">
        <v>1.651875</v>
      </c>
      <c r="J103">
        <v>1.74491666666666</v>
      </c>
      <c r="K103">
        <v>0.1105</v>
      </c>
      <c r="L103">
        <v>0.1341</v>
      </c>
      <c r="M103">
        <v>9.7900000000000001E-2</v>
      </c>
      <c r="N103">
        <v>2.6289087000000002</v>
      </c>
      <c r="O103">
        <f>Table1[[#This Row],[gas_exp]]/Table1[[#This Row],[gasoline_price]]</f>
        <v>2982.6712069617861</v>
      </c>
      <c r="P103">
        <f>Table1[[#This Row],[oil_exp]]/Table1[[#This Row],[heating_oil_price]]</f>
        <v>43.841635226133221</v>
      </c>
      <c r="S103">
        <v>505.84797930858599</v>
      </c>
      <c r="T103">
        <v>1160.2061952127999</v>
      </c>
      <c r="U103">
        <v>550</v>
      </c>
      <c r="V103">
        <v>825</v>
      </c>
      <c r="W103">
        <v>1101</v>
      </c>
      <c r="X103">
        <v>605</v>
      </c>
      <c r="Y103">
        <v>907.5</v>
      </c>
      <c r="Z103">
        <v>1211.0999999999999</v>
      </c>
      <c r="AA103">
        <v>610.20619521280901</v>
      </c>
      <c r="AB103">
        <v>335.20619521280901</v>
      </c>
      <c r="AC103">
        <v>59.206195212809398</v>
      </c>
      <c r="AD103">
        <v>555.20619521280901</v>
      </c>
      <c r="AE103">
        <v>252.70619521280901</v>
      </c>
      <c r="AF103">
        <v>-50.893804787190597</v>
      </c>
      <c r="AG103">
        <v>2.8972815750173899E-3</v>
      </c>
      <c r="AH103">
        <v>6.6451664731480399E-3</v>
      </c>
      <c r="AI103">
        <v>3.4950009462685399E-3</v>
      </c>
      <c r="AJ103">
        <v>1.91991818282878E-3</v>
      </c>
      <c r="AK103">
        <v>3.3910784570380099E-4</v>
      </c>
      <c r="AL103">
        <v>3.1799843935805799E-3</v>
      </c>
      <c r="AM103">
        <v>1.44739335379686E-3</v>
      </c>
      <c r="AN103">
        <v>-2.9149801704062299E-4</v>
      </c>
    </row>
    <row r="104" spans="1:40" x14ac:dyDescent="0.2">
      <c r="A104" t="s">
        <v>43</v>
      </c>
      <c r="B104">
        <v>2023</v>
      </c>
      <c r="C104" t="s">
        <v>41</v>
      </c>
      <c r="D104">
        <v>114096</v>
      </c>
      <c r="E104">
        <v>5875</v>
      </c>
      <c r="F104">
        <v>1400</v>
      </c>
      <c r="G104">
        <v>73</v>
      </c>
      <c r="H104">
        <v>176305</v>
      </c>
      <c r="I104">
        <v>1.52866666666666</v>
      </c>
      <c r="J104">
        <v>1.6768749999999999</v>
      </c>
      <c r="K104">
        <v>0.1431</v>
      </c>
      <c r="L104">
        <v>0.17380000000000001</v>
      </c>
      <c r="M104">
        <v>0.1239</v>
      </c>
      <c r="N104">
        <v>3.3270867000000002</v>
      </c>
      <c r="O104">
        <f>Table1[[#This Row],[gas_exp]]/Table1[[#This Row],[gasoline_price]]</f>
        <v>3843.2184910597639</v>
      </c>
      <c r="P104">
        <f>Table1[[#This Row],[oil_exp]]/Table1[[#This Row],[heating_oil_price]]</f>
        <v>43.533358181140514</v>
      </c>
      <c r="S104">
        <v>791.824109136532</v>
      </c>
      <c r="T104">
        <v>1615.7392169063701</v>
      </c>
      <c r="U104">
        <v>680</v>
      </c>
      <c r="V104">
        <v>1020</v>
      </c>
      <c r="W104">
        <v>1360</v>
      </c>
      <c r="X104">
        <v>748</v>
      </c>
      <c r="Y104">
        <v>1122</v>
      </c>
      <c r="Z104">
        <v>1496</v>
      </c>
      <c r="AA104">
        <v>935.73921690636996</v>
      </c>
      <c r="AB104">
        <v>595.73921690636996</v>
      </c>
      <c r="AC104">
        <v>255.73921690636999</v>
      </c>
      <c r="AD104">
        <v>867.73921690636996</v>
      </c>
      <c r="AE104">
        <v>493.73921690637002</v>
      </c>
      <c r="AF104">
        <v>119.73921690637</v>
      </c>
      <c r="AG104">
        <v>4.4912175442360196E-3</v>
      </c>
      <c r="AH104">
        <v>9.1644548759613701E-3</v>
      </c>
      <c r="AI104">
        <v>5.3075024355881502E-3</v>
      </c>
      <c r="AJ104">
        <v>3.3790262154015501E-3</v>
      </c>
      <c r="AK104">
        <v>1.45054999521494E-3</v>
      </c>
      <c r="AL104">
        <v>4.9218071915508302E-3</v>
      </c>
      <c r="AM104">
        <v>2.8004833493455602E-3</v>
      </c>
      <c r="AN104">
        <v>6.7915950714029702E-4</v>
      </c>
    </row>
    <row r="105" spans="1:40" x14ac:dyDescent="0.2">
      <c r="A105" t="s">
        <v>43</v>
      </c>
      <c r="B105">
        <v>2024</v>
      </c>
      <c r="C105" t="s">
        <v>41</v>
      </c>
      <c r="D105">
        <v>115530</v>
      </c>
      <c r="E105">
        <v>5875</v>
      </c>
      <c r="F105">
        <v>1400</v>
      </c>
      <c r="G105">
        <v>73</v>
      </c>
      <c r="H105">
        <v>176305</v>
      </c>
      <c r="I105">
        <v>1.49741666666666</v>
      </c>
      <c r="J105">
        <v>1.4333750000000001</v>
      </c>
      <c r="K105">
        <v>0.17610000000000001</v>
      </c>
      <c r="L105">
        <v>0.21390000000000001</v>
      </c>
      <c r="M105">
        <v>0.1525</v>
      </c>
      <c r="N105">
        <v>4.0950825000000002</v>
      </c>
      <c r="O105">
        <f>Table1[[#This Row],[gas_exp]]/Table1[[#This Row],[gasoline_price]]</f>
        <v>3923.4236741054215</v>
      </c>
      <c r="P105">
        <f>Table1[[#This Row],[oil_exp]]/Table1[[#This Row],[heating_oil_price]]</f>
        <v>50.928752071160723</v>
      </c>
      <c r="S105">
        <v>990.18427872798202</v>
      </c>
      <c r="T105">
        <v>1769.92388196707</v>
      </c>
      <c r="U105">
        <v>752</v>
      </c>
      <c r="V105">
        <v>1128</v>
      </c>
      <c r="W105">
        <v>1504</v>
      </c>
      <c r="X105">
        <v>902.4</v>
      </c>
      <c r="Y105">
        <v>1353.6</v>
      </c>
      <c r="Z105">
        <v>1804.8</v>
      </c>
      <c r="AA105">
        <v>1017.92388196707</v>
      </c>
      <c r="AB105">
        <v>641.92388196707805</v>
      </c>
      <c r="AC105">
        <v>265.92388196707799</v>
      </c>
      <c r="AD105">
        <v>867.52388196707795</v>
      </c>
      <c r="AE105">
        <v>416.32388196707802</v>
      </c>
      <c r="AF105">
        <v>-34.876118032921497</v>
      </c>
      <c r="AG105">
        <v>5.6163142209692402E-3</v>
      </c>
      <c r="AH105">
        <v>1.00389885820996E-2</v>
      </c>
      <c r="AI105">
        <v>5.7736529421575002E-3</v>
      </c>
      <c r="AJ105">
        <v>3.6409851221864201E-3</v>
      </c>
      <c r="AK105">
        <v>1.5083173022153501E-3</v>
      </c>
      <c r="AL105">
        <v>4.9205858141690697E-3</v>
      </c>
      <c r="AM105">
        <v>2.3613844302037799E-3</v>
      </c>
      <c r="AN105">
        <v>-1.97816953761501E-4</v>
      </c>
    </row>
    <row r="106" spans="1:40" x14ac:dyDescent="0.2">
      <c r="A106" t="s">
        <v>43</v>
      </c>
      <c r="B106">
        <v>2025</v>
      </c>
      <c r="C106" t="s">
        <v>41</v>
      </c>
      <c r="D106">
        <v>115530</v>
      </c>
      <c r="E106">
        <v>5875</v>
      </c>
      <c r="F106">
        <v>1400</v>
      </c>
      <c r="G106">
        <v>73</v>
      </c>
      <c r="H106">
        <v>176305</v>
      </c>
      <c r="I106">
        <v>1.37879166666666</v>
      </c>
      <c r="J106">
        <v>1.2946249999999999</v>
      </c>
      <c r="K106">
        <v>0</v>
      </c>
      <c r="L106">
        <v>0</v>
      </c>
      <c r="M106">
        <v>0</v>
      </c>
      <c r="N106">
        <v>0</v>
      </c>
      <c r="O106">
        <f>Table1[[#This Row],[gas_exp]]/Table1[[#This Row],[gasoline_price]]</f>
        <v>4260.9773050074245</v>
      </c>
      <c r="P106">
        <f>Table1[[#This Row],[oil_exp]]/Table1[[#This Row],[heating_oil_price]]</f>
        <v>56.386984648064114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</row>
    <row r="107" spans="1:40" x14ac:dyDescent="0.2">
      <c r="A107" t="s">
        <v>44</v>
      </c>
      <c r="B107">
        <v>2019</v>
      </c>
      <c r="C107" t="s">
        <v>37</v>
      </c>
      <c r="D107">
        <v>212525</v>
      </c>
      <c r="E107">
        <v>1288</v>
      </c>
      <c r="F107">
        <v>720</v>
      </c>
      <c r="H107">
        <v>48633</v>
      </c>
      <c r="I107">
        <v>1.0416666666666601</v>
      </c>
      <c r="J107">
        <v>1.1994166666666599</v>
      </c>
      <c r="K107">
        <v>0</v>
      </c>
      <c r="L107">
        <v>0</v>
      </c>
      <c r="M107">
        <v>0</v>
      </c>
      <c r="N107">
        <v>0</v>
      </c>
      <c r="O107">
        <f>Table1[[#This Row],[gas_exp]]/Table1[[#This Row],[gasoline_price]]</f>
        <v>1236.4800000000077</v>
      </c>
      <c r="P107">
        <f>Table1[[#This Row],[oil_exp]]/Table1[[#This Row],[heating_oil_price]]</f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</row>
    <row r="108" spans="1:40" x14ac:dyDescent="0.2">
      <c r="A108" t="s">
        <v>44</v>
      </c>
      <c r="B108">
        <v>2020</v>
      </c>
      <c r="C108" t="s">
        <v>37</v>
      </c>
      <c r="D108">
        <v>235915</v>
      </c>
      <c r="E108">
        <v>1007.5</v>
      </c>
      <c r="F108">
        <v>695</v>
      </c>
      <c r="H108">
        <v>45839</v>
      </c>
      <c r="I108">
        <v>0.92125000000000001</v>
      </c>
      <c r="J108">
        <v>1.01843055555555</v>
      </c>
      <c r="K108">
        <v>6.6299999999999998E-2</v>
      </c>
      <c r="L108">
        <v>8.0500000000000002E-2</v>
      </c>
      <c r="M108">
        <v>5.8700000000000002E-2</v>
      </c>
      <c r="N108">
        <v>1.5762711</v>
      </c>
      <c r="O108">
        <f>Table1[[#This Row],[gas_exp]]/Table1[[#This Row],[gasoline_price]]</f>
        <v>1093.6227951153323</v>
      </c>
      <c r="P108">
        <f>Table1[[#This Row],[oil_exp]]/Table1[[#This Row],[heating_oil_price]]</f>
        <v>0</v>
      </c>
      <c r="S108">
        <v>139.55230628354599</v>
      </c>
      <c r="T108">
        <v>291.90035352030202</v>
      </c>
      <c r="U108">
        <v>444</v>
      </c>
      <c r="V108">
        <v>666</v>
      </c>
      <c r="W108">
        <v>888</v>
      </c>
      <c r="X108">
        <v>488.4</v>
      </c>
      <c r="Y108">
        <v>732.6</v>
      </c>
      <c r="Z108">
        <v>976.8</v>
      </c>
      <c r="AA108">
        <v>-152.09964647969699</v>
      </c>
      <c r="AB108">
        <v>-374.09964647969701</v>
      </c>
      <c r="AC108">
        <v>-596.09964647969696</v>
      </c>
      <c r="AD108">
        <v>-196.49964647969699</v>
      </c>
      <c r="AE108">
        <v>-440.69964647969698</v>
      </c>
      <c r="AF108">
        <v>-684.89964647969703</v>
      </c>
      <c r="AG108">
        <v>3.0444011929480598E-3</v>
      </c>
      <c r="AH108">
        <v>6.3679476760030197E-3</v>
      </c>
      <c r="AI108">
        <v>-3.3181275001570101E-3</v>
      </c>
      <c r="AJ108">
        <v>-8.1611650882370303E-3</v>
      </c>
      <c r="AK108">
        <v>-1.3004202676317E-2</v>
      </c>
      <c r="AL108">
        <v>-4.2867350177730199E-3</v>
      </c>
      <c r="AM108">
        <v>-9.6140763646610401E-3</v>
      </c>
      <c r="AN108">
        <v>-1.4941417711549001E-2</v>
      </c>
    </row>
    <row r="109" spans="1:40" x14ac:dyDescent="0.2">
      <c r="A109" t="s">
        <v>44</v>
      </c>
      <c r="B109">
        <v>2021</v>
      </c>
      <c r="C109" t="s">
        <v>37</v>
      </c>
      <c r="D109">
        <v>204524</v>
      </c>
      <c r="E109">
        <v>727</v>
      </c>
      <c r="F109">
        <v>670</v>
      </c>
      <c r="H109">
        <v>43045</v>
      </c>
      <c r="I109">
        <v>1.2632083333333299</v>
      </c>
      <c r="J109">
        <v>1.24137037037037</v>
      </c>
      <c r="K109">
        <v>8.8400000000000006E-2</v>
      </c>
      <c r="L109">
        <v>0.10730000000000001</v>
      </c>
      <c r="M109">
        <v>7.8299999999999995E-2</v>
      </c>
      <c r="N109">
        <v>2.1025898999999999</v>
      </c>
      <c r="O109">
        <f>Table1[[#This Row],[gas_exp]]/Table1[[#This Row],[gasoline_price]]</f>
        <v>575.51868588580817</v>
      </c>
      <c r="P109">
        <f>Table1[[#This Row],[oil_exp]]/Table1[[#This Row],[heating_oil_price]]</f>
        <v>0</v>
      </c>
      <c r="S109">
        <v>137.09044809190499</v>
      </c>
      <c r="T109">
        <v>265.56136396463199</v>
      </c>
      <c r="U109">
        <v>490</v>
      </c>
      <c r="V109">
        <v>735</v>
      </c>
      <c r="W109">
        <v>981</v>
      </c>
      <c r="X109">
        <v>539</v>
      </c>
      <c r="Y109">
        <v>808.5</v>
      </c>
      <c r="Z109">
        <v>1079.0999999999999</v>
      </c>
      <c r="AA109">
        <v>-224.43863603536701</v>
      </c>
      <c r="AB109">
        <v>-469.43863603536698</v>
      </c>
      <c r="AC109">
        <v>-715.43863603536704</v>
      </c>
      <c r="AD109">
        <v>-273.43863603536698</v>
      </c>
      <c r="AE109">
        <v>-542.93863603536704</v>
      </c>
      <c r="AF109">
        <v>-813.53863603536695</v>
      </c>
      <c r="AG109">
        <v>3.1848170075945001E-3</v>
      </c>
      <c r="AH109">
        <v>6.1693893359189697E-3</v>
      </c>
      <c r="AI109">
        <v>-5.2140466032144896E-3</v>
      </c>
      <c r="AJ109">
        <v>-1.0905764572781199E-2</v>
      </c>
      <c r="AK109">
        <v>-1.66207140442645E-2</v>
      </c>
      <c r="AL109">
        <v>-6.35239019712783E-3</v>
      </c>
      <c r="AM109">
        <v>-1.26132799636512E-2</v>
      </c>
      <c r="AN109">
        <v>-1.8899724382282899E-2</v>
      </c>
    </row>
    <row r="110" spans="1:40" x14ac:dyDescent="0.2">
      <c r="A110" t="s">
        <v>44</v>
      </c>
      <c r="B110">
        <v>2022</v>
      </c>
      <c r="C110" t="s">
        <v>37</v>
      </c>
      <c r="D110">
        <v>245238</v>
      </c>
      <c r="E110">
        <v>1195</v>
      </c>
      <c r="F110">
        <v>745</v>
      </c>
      <c r="H110">
        <v>45624.5</v>
      </c>
      <c r="I110">
        <v>1.5502499999999999</v>
      </c>
      <c r="J110">
        <v>1.90406481481481</v>
      </c>
      <c r="K110">
        <v>0.1105</v>
      </c>
      <c r="L110">
        <v>0.1341</v>
      </c>
      <c r="M110">
        <v>9.7900000000000001E-2</v>
      </c>
      <c r="N110">
        <v>2.6289087000000002</v>
      </c>
      <c r="O110">
        <f>Table1[[#This Row],[gas_exp]]/Table1[[#This Row],[gasoline_price]]</f>
        <v>770.84341235284637</v>
      </c>
      <c r="P110">
        <f>Table1[[#This Row],[oil_exp]]/Table1[[#This Row],[heating_oil_price]]</f>
        <v>0</v>
      </c>
      <c r="S110">
        <v>205.040660332789</v>
      </c>
      <c r="T110">
        <v>365.497089191177</v>
      </c>
      <c r="U110">
        <v>539</v>
      </c>
      <c r="V110">
        <v>809</v>
      </c>
      <c r="W110">
        <v>1079</v>
      </c>
      <c r="X110">
        <v>592.9</v>
      </c>
      <c r="Y110">
        <v>889.9</v>
      </c>
      <c r="Z110">
        <v>1186.9000000000001</v>
      </c>
      <c r="AA110">
        <v>-173.50291080882201</v>
      </c>
      <c r="AB110">
        <v>-443.50291080882198</v>
      </c>
      <c r="AC110">
        <v>-713.50291080882198</v>
      </c>
      <c r="AD110">
        <v>-227.40291080882201</v>
      </c>
      <c r="AE110">
        <v>-524.40291080882196</v>
      </c>
      <c r="AF110">
        <v>-821.40291080882196</v>
      </c>
      <c r="AG110">
        <v>4.4940911206213597E-3</v>
      </c>
      <c r="AH110">
        <v>8.0109828971534503E-3</v>
      </c>
      <c r="AI110">
        <v>-3.8028451995928102E-3</v>
      </c>
      <c r="AJ110">
        <v>-9.7207182721744303E-3</v>
      </c>
      <c r="AK110">
        <v>-1.5638591344755998E-2</v>
      </c>
      <c r="AL110">
        <v>-4.9842280092674404E-3</v>
      </c>
      <c r="AM110">
        <v>-1.14938883891072E-2</v>
      </c>
      <c r="AN110">
        <v>-1.8003548768947001E-2</v>
      </c>
    </row>
    <row r="111" spans="1:40" x14ac:dyDescent="0.2">
      <c r="A111" t="s">
        <v>44</v>
      </c>
      <c r="B111">
        <v>2023</v>
      </c>
      <c r="C111" t="s">
        <v>37</v>
      </c>
      <c r="D111">
        <v>234626</v>
      </c>
      <c r="E111">
        <v>1663</v>
      </c>
      <c r="F111">
        <v>820</v>
      </c>
      <c r="H111">
        <v>48204</v>
      </c>
      <c r="I111">
        <v>1.3554166666666601</v>
      </c>
      <c r="J111">
        <v>1.7136805555555501</v>
      </c>
      <c r="K111">
        <v>0.1431</v>
      </c>
      <c r="L111">
        <v>0.17380000000000001</v>
      </c>
      <c r="M111">
        <v>0.1239</v>
      </c>
      <c r="N111">
        <v>3.3270867000000002</v>
      </c>
      <c r="O111">
        <f>Table1[[#This Row],[gas_exp]]/Table1[[#This Row],[gasoline_price]]</f>
        <v>1226.9289886258898</v>
      </c>
      <c r="P111">
        <f>Table1[[#This Row],[oil_exp]]/Table1[[#This Row],[heating_oil_price]]</f>
        <v>0</v>
      </c>
      <c r="S111">
        <v>342.54005722516399</v>
      </c>
      <c r="T111">
        <v>531.18024240698503</v>
      </c>
      <c r="U111">
        <v>772</v>
      </c>
      <c r="V111">
        <v>1158</v>
      </c>
      <c r="W111">
        <v>1544</v>
      </c>
      <c r="X111">
        <v>849.2</v>
      </c>
      <c r="Y111">
        <v>1273.8</v>
      </c>
      <c r="Z111">
        <v>1698.4</v>
      </c>
      <c r="AA111">
        <v>-240.819757593014</v>
      </c>
      <c r="AB111">
        <v>-626.81975759301395</v>
      </c>
      <c r="AC111">
        <v>-1012.81975759301</v>
      </c>
      <c r="AD111">
        <v>-318.01975759301399</v>
      </c>
      <c r="AE111">
        <v>-742.61975759301504</v>
      </c>
      <c r="AF111">
        <v>-1167.2197575930099</v>
      </c>
      <c r="AG111">
        <v>7.1060504776608501E-3</v>
      </c>
      <c r="AH111">
        <v>1.1019422504501299E-2</v>
      </c>
      <c r="AI111">
        <v>-4.9958459379515104E-3</v>
      </c>
      <c r="AJ111">
        <v>-1.30034801591779E-2</v>
      </c>
      <c r="AK111">
        <v>-2.10111143804044E-2</v>
      </c>
      <c r="AL111">
        <v>-6.5973727821968002E-3</v>
      </c>
      <c r="AM111">
        <v>-1.54057704255459E-2</v>
      </c>
      <c r="AN111">
        <v>-2.4214168068894999E-2</v>
      </c>
    </row>
    <row r="112" spans="1:40" x14ac:dyDescent="0.2">
      <c r="A112" t="s">
        <v>44</v>
      </c>
      <c r="B112">
        <v>2024</v>
      </c>
      <c r="C112" t="s">
        <v>37</v>
      </c>
      <c r="D112">
        <v>275468</v>
      </c>
      <c r="E112">
        <v>1663</v>
      </c>
      <c r="F112">
        <v>820</v>
      </c>
      <c r="H112">
        <v>48204</v>
      </c>
      <c r="I112">
        <v>1.4460833333333301</v>
      </c>
      <c r="J112">
        <v>1.47389351851851</v>
      </c>
      <c r="K112">
        <v>0.17610000000000001</v>
      </c>
      <c r="L112">
        <v>0.21390000000000001</v>
      </c>
      <c r="M112">
        <v>0.1525</v>
      </c>
      <c r="N112">
        <v>4.0950825000000002</v>
      </c>
      <c r="O112">
        <f>Table1[[#This Row],[gas_exp]]/Table1[[#This Row],[gasoline_price]]</f>
        <v>1150.0028813461674</v>
      </c>
      <c r="P112">
        <f>Table1[[#This Row],[oil_exp]]/Table1[[#This Row],[heating_oil_price]]</f>
        <v>0</v>
      </c>
      <c r="S112">
        <v>408.023127585059</v>
      </c>
      <c r="T112">
        <v>538.12564223998004</v>
      </c>
      <c r="U112">
        <v>900</v>
      </c>
      <c r="V112">
        <v>1350</v>
      </c>
      <c r="W112">
        <v>1800</v>
      </c>
      <c r="X112">
        <v>1080</v>
      </c>
      <c r="Y112">
        <v>1620</v>
      </c>
      <c r="Z112">
        <v>2160</v>
      </c>
      <c r="AA112">
        <v>-361.874357760019</v>
      </c>
      <c r="AB112">
        <v>-811.87435776001905</v>
      </c>
      <c r="AC112">
        <v>-1261.8743577600101</v>
      </c>
      <c r="AD112">
        <v>-541.87435776001905</v>
      </c>
      <c r="AE112">
        <v>-1081.8743577600101</v>
      </c>
      <c r="AF112">
        <v>-1621.8743577600101</v>
      </c>
      <c r="AG112">
        <v>8.4645076671035508E-3</v>
      </c>
      <c r="AH112">
        <v>1.11635059795863E-2</v>
      </c>
      <c r="AI112">
        <v>-7.5071437590245498E-3</v>
      </c>
      <c r="AJ112">
        <v>-1.6842468628329998E-2</v>
      </c>
      <c r="AK112">
        <v>-2.6177793497635399E-2</v>
      </c>
      <c r="AL112">
        <v>-1.1241273706746701E-2</v>
      </c>
      <c r="AM112">
        <v>-2.2443663549913201E-2</v>
      </c>
      <c r="AN112">
        <v>-3.36460533930798E-2</v>
      </c>
    </row>
    <row r="113" spans="1:40" x14ac:dyDescent="0.2">
      <c r="A113" t="s">
        <v>44</v>
      </c>
      <c r="B113">
        <v>2025</v>
      </c>
      <c r="C113" t="s">
        <v>37</v>
      </c>
      <c r="D113">
        <v>275468</v>
      </c>
      <c r="E113">
        <v>1663</v>
      </c>
      <c r="F113">
        <v>820</v>
      </c>
      <c r="H113">
        <v>48204</v>
      </c>
      <c r="I113">
        <v>1.3190833333333301</v>
      </c>
      <c r="J113">
        <v>1.3772731481481399</v>
      </c>
      <c r="K113">
        <v>0</v>
      </c>
      <c r="L113">
        <v>0</v>
      </c>
      <c r="M113">
        <v>0</v>
      </c>
      <c r="N113">
        <v>0</v>
      </c>
      <c r="O113">
        <f>Table1[[#This Row],[gas_exp]]/Table1[[#This Row],[gasoline_price]]</f>
        <v>1260.7239876176668</v>
      </c>
      <c r="P113">
        <f>Table1[[#This Row],[oil_exp]]/Table1[[#This Row],[heating_oil_price]]</f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</row>
    <row r="114" spans="1:40" x14ac:dyDescent="0.2">
      <c r="A114" t="s">
        <v>44</v>
      </c>
      <c r="B114">
        <v>2019</v>
      </c>
      <c r="C114" t="s">
        <v>38</v>
      </c>
      <c r="D114">
        <v>265583</v>
      </c>
      <c r="E114">
        <v>1858</v>
      </c>
      <c r="F114">
        <v>843</v>
      </c>
      <c r="G114">
        <v>38</v>
      </c>
      <c r="H114">
        <v>69147</v>
      </c>
      <c r="I114">
        <v>1.0416666666666601</v>
      </c>
      <c r="J114">
        <v>1.1994166666666599</v>
      </c>
      <c r="K114">
        <v>0</v>
      </c>
      <c r="L114">
        <v>0</v>
      </c>
      <c r="M114">
        <v>0</v>
      </c>
      <c r="N114">
        <v>0</v>
      </c>
      <c r="O114">
        <f>Table1[[#This Row],[gas_exp]]/Table1[[#This Row],[gasoline_price]]</f>
        <v>1783.6800000000112</v>
      </c>
      <c r="P114">
        <f>Table1[[#This Row],[oil_exp]]/Table1[[#This Row],[heating_oil_price]]</f>
        <v>31.682067671785074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</row>
    <row r="115" spans="1:40" x14ac:dyDescent="0.2">
      <c r="A115" t="s">
        <v>44</v>
      </c>
      <c r="B115">
        <v>2020</v>
      </c>
      <c r="C115" t="s">
        <v>38</v>
      </c>
      <c r="D115">
        <v>271607</v>
      </c>
      <c r="E115">
        <v>1724.5</v>
      </c>
      <c r="F115">
        <v>938</v>
      </c>
      <c r="G115">
        <v>38.75</v>
      </c>
      <c r="H115">
        <v>68713</v>
      </c>
      <c r="I115">
        <v>0.92125000000000001</v>
      </c>
      <c r="J115">
        <v>1.01843055555555</v>
      </c>
      <c r="K115">
        <v>6.6299999999999998E-2</v>
      </c>
      <c r="L115">
        <v>8.0500000000000002E-2</v>
      </c>
      <c r="M115">
        <v>5.8700000000000002E-2</v>
      </c>
      <c r="N115">
        <v>1.5762711</v>
      </c>
      <c r="O115">
        <f>Table1[[#This Row],[gas_exp]]/Table1[[#This Row],[gasoline_price]]</f>
        <v>1871.9131614654002</v>
      </c>
      <c r="P115">
        <f>Table1[[#This Row],[oil_exp]]/Table1[[#This Row],[heating_oil_price]]</f>
        <v>38.048740573049699</v>
      </c>
      <c r="S115">
        <v>217.65755447944599</v>
      </c>
      <c r="T115">
        <v>455.27242645366198</v>
      </c>
      <c r="U115">
        <v>444</v>
      </c>
      <c r="V115">
        <v>666</v>
      </c>
      <c r="W115">
        <v>888</v>
      </c>
      <c r="X115">
        <v>488.4</v>
      </c>
      <c r="Y115">
        <v>732.6</v>
      </c>
      <c r="Z115">
        <v>976.8</v>
      </c>
      <c r="AA115">
        <v>11.2724264536626</v>
      </c>
      <c r="AB115">
        <v>-210.727573546337</v>
      </c>
      <c r="AC115">
        <v>-432.727573546337</v>
      </c>
      <c r="AD115">
        <v>-33.127573546337302</v>
      </c>
      <c r="AE115">
        <v>-277.32757354633702</v>
      </c>
      <c r="AF115">
        <v>-521.52757354633695</v>
      </c>
      <c r="AG115">
        <v>3.1676328275500399E-3</v>
      </c>
      <c r="AH115">
        <v>6.62571022155432E-3</v>
      </c>
      <c r="AI115">
        <v>1.6405085578657101E-4</v>
      </c>
      <c r="AJ115">
        <v>-3.0667788270973E-3</v>
      </c>
      <c r="AK115">
        <v>-6.2976085099811802E-3</v>
      </c>
      <c r="AL115">
        <v>-4.8211508079020501E-4</v>
      </c>
      <c r="AM115">
        <v>-4.03602773196247E-3</v>
      </c>
      <c r="AN115">
        <v>-7.58994038313474E-3</v>
      </c>
    </row>
    <row r="116" spans="1:40" x14ac:dyDescent="0.2">
      <c r="A116" t="s">
        <v>44</v>
      </c>
      <c r="B116">
        <v>2021</v>
      </c>
      <c r="C116" t="s">
        <v>38</v>
      </c>
      <c r="D116">
        <v>292809</v>
      </c>
      <c r="E116">
        <v>1591</v>
      </c>
      <c r="F116">
        <v>1033</v>
      </c>
      <c r="G116">
        <v>39.5</v>
      </c>
      <c r="H116">
        <v>68279</v>
      </c>
      <c r="I116">
        <v>1.2632083333333299</v>
      </c>
      <c r="J116">
        <v>1.24137037037037</v>
      </c>
      <c r="K116">
        <v>8.8400000000000006E-2</v>
      </c>
      <c r="L116">
        <v>0.10730000000000001</v>
      </c>
      <c r="M116">
        <v>7.8299999999999995E-2</v>
      </c>
      <c r="N116">
        <v>2.1025898999999999</v>
      </c>
      <c r="O116">
        <f>Table1[[#This Row],[gas_exp]]/Table1[[#This Row],[gasoline_price]]</f>
        <v>1259.4913744763699</v>
      </c>
      <c r="P116">
        <f>Table1[[#This Row],[oil_exp]]/Table1[[#This Row],[heating_oil_price]]</f>
        <v>31.819673598472427</v>
      </c>
      <c r="S116">
        <v>247.67818092286601</v>
      </c>
      <c r="T116">
        <v>479.78364988683097</v>
      </c>
      <c r="U116">
        <v>490</v>
      </c>
      <c r="V116">
        <v>735</v>
      </c>
      <c r="W116">
        <v>981</v>
      </c>
      <c r="X116">
        <v>539</v>
      </c>
      <c r="Y116">
        <v>808.5</v>
      </c>
      <c r="Z116">
        <v>1079.0999999999999</v>
      </c>
      <c r="AA116">
        <v>-10.216350113168801</v>
      </c>
      <c r="AB116">
        <v>-255.21635011316801</v>
      </c>
      <c r="AC116">
        <v>-501.21635011316801</v>
      </c>
      <c r="AD116">
        <v>-59.216350113168801</v>
      </c>
      <c r="AE116">
        <v>-328.71635011316801</v>
      </c>
      <c r="AF116">
        <v>-599.31635011316803</v>
      </c>
      <c r="AG116">
        <v>3.6274430047725701E-3</v>
      </c>
      <c r="AH116">
        <v>7.0268113166102398E-3</v>
      </c>
      <c r="AI116">
        <v>-1.4962653397338499E-4</v>
      </c>
      <c r="AJ116">
        <v>-3.7378454592652001E-3</v>
      </c>
      <c r="AK116">
        <v>-7.34071017608882E-3</v>
      </c>
      <c r="AL116">
        <v>-8.67270319031749E-4</v>
      </c>
      <c r="AM116">
        <v>-4.81431113685274E-3</v>
      </c>
      <c r="AN116">
        <v>-8.7774623253587293E-3</v>
      </c>
    </row>
    <row r="117" spans="1:40" x14ac:dyDescent="0.2">
      <c r="A117" t="s">
        <v>44</v>
      </c>
      <c r="B117">
        <v>2022</v>
      </c>
      <c r="C117" t="s">
        <v>38</v>
      </c>
      <c r="D117">
        <v>276414</v>
      </c>
      <c r="E117">
        <v>2652.5</v>
      </c>
      <c r="F117">
        <v>1101</v>
      </c>
      <c r="G117">
        <v>40.25</v>
      </c>
      <c r="H117">
        <v>74299.5</v>
      </c>
      <c r="I117">
        <v>1.5502499999999999</v>
      </c>
      <c r="J117">
        <v>1.90406481481481</v>
      </c>
      <c r="K117">
        <v>0.1105</v>
      </c>
      <c r="L117">
        <v>0.1341</v>
      </c>
      <c r="M117">
        <v>9.7900000000000001E-2</v>
      </c>
      <c r="N117">
        <v>2.6289087000000002</v>
      </c>
      <c r="O117">
        <f>Table1[[#This Row],[gas_exp]]/Table1[[#This Row],[gasoline_price]]</f>
        <v>1711.0143525237866</v>
      </c>
      <c r="P117">
        <f>Table1[[#This Row],[oil_exp]]/Table1[[#This Row],[heating_oil_price]]</f>
        <v>21.138986281785122</v>
      </c>
      <c r="S117">
        <v>369.040846910705</v>
      </c>
      <c r="T117">
        <v>657.83710957421101</v>
      </c>
      <c r="U117">
        <v>539</v>
      </c>
      <c r="V117">
        <v>809</v>
      </c>
      <c r="W117">
        <v>1079</v>
      </c>
      <c r="X117">
        <v>592.9</v>
      </c>
      <c r="Y117">
        <v>889.9</v>
      </c>
      <c r="Z117">
        <v>1186.9000000000001</v>
      </c>
      <c r="AA117">
        <v>118.837109574211</v>
      </c>
      <c r="AB117">
        <v>-151.16289042578799</v>
      </c>
      <c r="AC117">
        <v>-421.16289042578802</v>
      </c>
      <c r="AD117">
        <v>64.937109574211405</v>
      </c>
      <c r="AE117">
        <v>-232.062890425788</v>
      </c>
      <c r="AF117">
        <v>-529.06289042578805</v>
      </c>
      <c r="AG117">
        <v>4.9669358059032101E-3</v>
      </c>
      <c r="AH117">
        <v>8.8538564805175201E-3</v>
      </c>
      <c r="AI117">
        <v>1.5994335032431101E-3</v>
      </c>
      <c r="AJ117">
        <v>-2.0345075057811701E-3</v>
      </c>
      <c r="AK117">
        <v>-5.66844851480546E-3</v>
      </c>
      <c r="AL117">
        <v>8.7399120551566901E-4</v>
      </c>
      <c r="AM117">
        <v>-3.1233439044110402E-3</v>
      </c>
      <c r="AN117">
        <v>-7.1206790143377597E-3</v>
      </c>
    </row>
    <row r="118" spans="1:40" x14ac:dyDescent="0.2">
      <c r="A118" t="s">
        <v>44</v>
      </c>
      <c r="B118">
        <v>2023</v>
      </c>
      <c r="C118" t="s">
        <v>38</v>
      </c>
      <c r="D118">
        <v>308066</v>
      </c>
      <c r="E118">
        <v>3714</v>
      </c>
      <c r="F118">
        <v>1169</v>
      </c>
      <c r="G118">
        <v>41</v>
      </c>
      <c r="H118">
        <v>80320</v>
      </c>
      <c r="I118">
        <v>1.3554166666666601</v>
      </c>
      <c r="J118">
        <v>1.7136805555555501</v>
      </c>
      <c r="K118">
        <v>0.1431</v>
      </c>
      <c r="L118">
        <v>0.17380000000000001</v>
      </c>
      <c r="M118">
        <v>0.1239</v>
      </c>
      <c r="N118">
        <v>3.3270867000000002</v>
      </c>
      <c r="O118">
        <f>Table1[[#This Row],[gas_exp]]/Table1[[#This Row],[gasoline_price]]</f>
        <v>2740.1168152474775</v>
      </c>
      <c r="P118">
        <f>Table1[[#This Row],[oil_exp]]/Table1[[#This Row],[heating_oil_price]]</f>
        <v>23.925112452891433</v>
      </c>
      <c r="S118">
        <v>634.29799916698403</v>
      </c>
      <c r="T118">
        <v>983.61215819588199</v>
      </c>
      <c r="U118">
        <v>772</v>
      </c>
      <c r="V118">
        <v>1158</v>
      </c>
      <c r="W118">
        <v>1544</v>
      </c>
      <c r="X118">
        <v>849.2</v>
      </c>
      <c r="Y118">
        <v>1273.8</v>
      </c>
      <c r="Z118">
        <v>1698.4</v>
      </c>
      <c r="AA118">
        <v>211.61215819588199</v>
      </c>
      <c r="AB118">
        <v>-174.38784180411699</v>
      </c>
      <c r="AC118">
        <v>-560.38784180411699</v>
      </c>
      <c r="AD118">
        <v>134.412158195882</v>
      </c>
      <c r="AE118">
        <v>-290.187841804117</v>
      </c>
      <c r="AF118">
        <v>-714.78784180411697</v>
      </c>
      <c r="AG118">
        <v>7.8971364438120608E-3</v>
      </c>
      <c r="AH118">
        <v>1.2246167308215599E-2</v>
      </c>
      <c r="AI118">
        <v>2.6346135233551102E-3</v>
      </c>
      <c r="AJ118">
        <v>-2.17116336907516E-3</v>
      </c>
      <c r="AK118">
        <v>-6.9769402615054397E-3</v>
      </c>
      <c r="AL118">
        <v>1.67345814486905E-3</v>
      </c>
      <c r="AM118">
        <v>-3.6128964368042499E-3</v>
      </c>
      <c r="AN118">
        <v>-8.8992510184775601E-3</v>
      </c>
    </row>
    <row r="119" spans="1:40" x14ac:dyDescent="0.2">
      <c r="A119" t="s">
        <v>44</v>
      </c>
      <c r="B119">
        <v>2024</v>
      </c>
      <c r="C119" t="s">
        <v>38</v>
      </c>
      <c r="D119">
        <v>312695</v>
      </c>
      <c r="E119">
        <v>3714</v>
      </c>
      <c r="F119">
        <v>1169</v>
      </c>
      <c r="G119">
        <v>41</v>
      </c>
      <c r="H119">
        <v>80320</v>
      </c>
      <c r="I119">
        <v>1.4460833333333301</v>
      </c>
      <c r="J119">
        <v>1.47389351851851</v>
      </c>
      <c r="K119">
        <v>0.17610000000000001</v>
      </c>
      <c r="L119">
        <v>0.21390000000000001</v>
      </c>
      <c r="M119">
        <v>0.1525</v>
      </c>
      <c r="N119">
        <v>4.0950825000000002</v>
      </c>
      <c r="O119">
        <f>Table1[[#This Row],[gas_exp]]/Table1[[#This Row],[gasoline_price]]</f>
        <v>2568.3167175704548</v>
      </c>
      <c r="P119">
        <f>Table1[[#This Row],[oil_exp]]/Table1[[#This Row],[heating_oil_price]]</f>
        <v>27.817477643304461</v>
      </c>
      <c r="S119">
        <v>751.20440071305802</v>
      </c>
      <c r="T119">
        <v>990.73391496158001</v>
      </c>
      <c r="U119">
        <v>900</v>
      </c>
      <c r="V119">
        <v>1350</v>
      </c>
      <c r="W119">
        <v>1800</v>
      </c>
      <c r="X119">
        <v>1080</v>
      </c>
      <c r="Y119">
        <v>1620</v>
      </c>
      <c r="Z119">
        <v>2160</v>
      </c>
      <c r="AA119">
        <v>90.733914961580197</v>
      </c>
      <c r="AB119">
        <v>-359.26608503841902</v>
      </c>
      <c r="AC119">
        <v>-809.26608503841896</v>
      </c>
      <c r="AD119">
        <v>-89.266085038419703</v>
      </c>
      <c r="AE119">
        <v>-629.26608503841896</v>
      </c>
      <c r="AF119">
        <v>-1169.26608503841</v>
      </c>
      <c r="AG119">
        <v>9.3526444311884793E-3</v>
      </c>
      <c r="AH119">
        <v>1.2334834598625199E-2</v>
      </c>
      <c r="AI119">
        <v>1.1296553157567201E-3</v>
      </c>
      <c r="AJ119">
        <v>-4.4729343256775297E-3</v>
      </c>
      <c r="AK119">
        <v>-1.00755239671118E-2</v>
      </c>
      <c r="AL119">
        <v>-1.1113805408169699E-3</v>
      </c>
      <c r="AM119">
        <v>-7.8344881105380897E-3</v>
      </c>
      <c r="AN119">
        <v>-1.4557595680259199E-2</v>
      </c>
    </row>
    <row r="120" spans="1:40" x14ac:dyDescent="0.2">
      <c r="A120" t="s">
        <v>44</v>
      </c>
      <c r="B120">
        <v>2025</v>
      </c>
      <c r="C120" t="s">
        <v>38</v>
      </c>
      <c r="D120">
        <v>312695</v>
      </c>
      <c r="E120">
        <v>3714</v>
      </c>
      <c r="F120">
        <v>1169</v>
      </c>
      <c r="G120">
        <v>41</v>
      </c>
      <c r="H120">
        <v>80320</v>
      </c>
      <c r="I120">
        <v>1.3190833333333301</v>
      </c>
      <c r="J120">
        <v>1.3772731481481399</v>
      </c>
      <c r="K120">
        <v>0</v>
      </c>
      <c r="L120">
        <v>0</v>
      </c>
      <c r="M120">
        <v>0</v>
      </c>
      <c r="N120">
        <v>0</v>
      </c>
      <c r="O120">
        <f>Table1[[#This Row],[gas_exp]]/Table1[[#This Row],[gasoline_price]]</f>
        <v>2815.5916356055413</v>
      </c>
      <c r="P120">
        <f>Table1[[#This Row],[oil_exp]]/Table1[[#This Row],[heating_oil_price]]</f>
        <v>29.768967800706754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</row>
    <row r="121" spans="1:40" x14ac:dyDescent="0.2">
      <c r="A121" t="s">
        <v>44</v>
      </c>
      <c r="B121">
        <v>2019</v>
      </c>
      <c r="C121" t="s">
        <v>39</v>
      </c>
      <c r="D121">
        <v>310740</v>
      </c>
      <c r="E121">
        <v>2222</v>
      </c>
      <c r="F121">
        <v>971</v>
      </c>
      <c r="G121">
        <v>30</v>
      </c>
      <c r="H121">
        <v>96253</v>
      </c>
      <c r="I121">
        <v>1.0416666666666601</v>
      </c>
      <c r="J121">
        <v>1.1994166666666599</v>
      </c>
      <c r="K121">
        <v>0</v>
      </c>
      <c r="L121">
        <v>0</v>
      </c>
      <c r="M121">
        <v>0</v>
      </c>
      <c r="N121">
        <v>0</v>
      </c>
      <c r="O121">
        <f>Table1[[#This Row],[gas_exp]]/Table1[[#This Row],[gasoline_price]]</f>
        <v>2133.1200000000135</v>
      </c>
      <c r="P121">
        <f>Table1[[#This Row],[oil_exp]]/Table1[[#This Row],[heating_oil_price]]</f>
        <v>25.012158688251375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</row>
    <row r="122" spans="1:40" x14ac:dyDescent="0.2">
      <c r="A122" t="s">
        <v>44</v>
      </c>
      <c r="B122">
        <v>2020</v>
      </c>
      <c r="C122" t="s">
        <v>39</v>
      </c>
      <c r="D122">
        <v>296182</v>
      </c>
      <c r="E122">
        <v>2080</v>
      </c>
      <c r="F122">
        <v>961.5</v>
      </c>
      <c r="G122">
        <v>37.5</v>
      </c>
      <c r="H122">
        <v>91809.5</v>
      </c>
      <c r="I122">
        <v>0.92125000000000001</v>
      </c>
      <c r="J122">
        <v>1.01843055555555</v>
      </c>
      <c r="K122">
        <v>6.6299999999999998E-2</v>
      </c>
      <c r="L122">
        <v>8.0500000000000002E-2</v>
      </c>
      <c r="M122">
        <v>5.8700000000000002E-2</v>
      </c>
      <c r="N122">
        <v>1.5762711</v>
      </c>
      <c r="O122">
        <f>Table1[[#This Row],[gas_exp]]/Table1[[#This Row],[gasoline_price]]</f>
        <v>2257.8018995929442</v>
      </c>
      <c r="P122">
        <f>Table1[[#This Row],[oil_exp]]/Table1[[#This Row],[heating_oil_price]]</f>
        <v>36.821361844886809</v>
      </c>
      <c r="S122">
        <v>245.410166925705</v>
      </c>
      <c r="T122">
        <v>513.32232616449301</v>
      </c>
      <c r="U122">
        <v>444</v>
      </c>
      <c r="V122">
        <v>666</v>
      </c>
      <c r="W122">
        <v>888</v>
      </c>
      <c r="X122">
        <v>488.4</v>
      </c>
      <c r="Y122">
        <v>732.6</v>
      </c>
      <c r="Z122">
        <v>976.8</v>
      </c>
      <c r="AA122">
        <v>69.322326164493006</v>
      </c>
      <c r="AB122">
        <v>-152.67767383550699</v>
      </c>
      <c r="AC122">
        <v>-374.67767383550699</v>
      </c>
      <c r="AD122">
        <v>24.922326164492901</v>
      </c>
      <c r="AE122">
        <v>-219.27767383550699</v>
      </c>
      <c r="AF122">
        <v>-463.47767383550701</v>
      </c>
      <c r="AG122">
        <v>2.6730367437542402E-3</v>
      </c>
      <c r="AH122">
        <v>5.5911678656837497E-3</v>
      </c>
      <c r="AI122">
        <v>7.5506702644598798E-4</v>
      </c>
      <c r="AJ122">
        <v>-1.6629833931728899E-3</v>
      </c>
      <c r="AK122">
        <v>-4.0810338127917796E-3</v>
      </c>
      <c r="AL122">
        <v>2.7145694252221099E-4</v>
      </c>
      <c r="AM122">
        <v>-2.3883985190585599E-3</v>
      </c>
      <c r="AN122">
        <v>-5.0482539806393301E-3</v>
      </c>
    </row>
    <row r="123" spans="1:40" x14ac:dyDescent="0.2">
      <c r="A123" t="s">
        <v>44</v>
      </c>
      <c r="B123">
        <v>2021</v>
      </c>
      <c r="C123" t="s">
        <v>39</v>
      </c>
      <c r="D123">
        <v>274423</v>
      </c>
      <c r="E123">
        <v>1938</v>
      </c>
      <c r="F123">
        <v>952</v>
      </c>
      <c r="G123">
        <v>45</v>
      </c>
      <c r="H123">
        <v>87366</v>
      </c>
      <c r="I123">
        <v>1.2632083333333299</v>
      </c>
      <c r="J123">
        <v>1.24137037037037</v>
      </c>
      <c r="K123">
        <v>8.8400000000000006E-2</v>
      </c>
      <c r="L123">
        <v>0.10730000000000001</v>
      </c>
      <c r="M123">
        <v>7.8299999999999995E-2</v>
      </c>
      <c r="N123">
        <v>2.1025898999999999</v>
      </c>
      <c r="O123">
        <f>Table1[[#This Row],[gas_exp]]/Table1[[#This Row],[gasoline_price]]</f>
        <v>1534.188738991329</v>
      </c>
      <c r="P123">
        <f>Table1[[#This Row],[oil_exp]]/Table1[[#This Row],[heating_oil_price]]</f>
        <v>36.250261061550866</v>
      </c>
      <c r="S123">
        <v>262.01387132849698</v>
      </c>
      <c r="T123">
        <v>507.55367727007899</v>
      </c>
      <c r="U123">
        <v>490</v>
      </c>
      <c r="V123">
        <v>735</v>
      </c>
      <c r="W123">
        <v>981</v>
      </c>
      <c r="X123">
        <v>539</v>
      </c>
      <c r="Y123">
        <v>808.5</v>
      </c>
      <c r="Z123">
        <v>1079.0999999999999</v>
      </c>
      <c r="AA123">
        <v>17.553677270079302</v>
      </c>
      <c r="AB123">
        <v>-227.44632272992001</v>
      </c>
      <c r="AC123">
        <v>-473.44632272991998</v>
      </c>
      <c r="AD123">
        <v>-31.446322729920599</v>
      </c>
      <c r="AE123">
        <v>-300.94632272991998</v>
      </c>
      <c r="AF123">
        <v>-571.54632272992001</v>
      </c>
      <c r="AG123">
        <v>2.9990370547867298E-3</v>
      </c>
      <c r="AH123">
        <v>5.8095103045816303E-3</v>
      </c>
      <c r="AI123">
        <v>2.0092115090629401E-4</v>
      </c>
      <c r="AJ123">
        <v>-2.60337342593137E-3</v>
      </c>
      <c r="AK123">
        <v>-5.4191141030826701E-3</v>
      </c>
      <c r="AL123">
        <v>-3.59937764461239E-4</v>
      </c>
      <c r="AM123">
        <v>-3.4446617989826699E-3</v>
      </c>
      <c r="AN123">
        <v>-6.5419765438491E-3</v>
      </c>
    </row>
    <row r="124" spans="1:40" x14ac:dyDescent="0.2">
      <c r="A124" t="s">
        <v>44</v>
      </c>
      <c r="B124">
        <v>2022</v>
      </c>
      <c r="C124" t="s">
        <v>39</v>
      </c>
      <c r="D124">
        <v>285966</v>
      </c>
      <c r="E124">
        <v>2428.5</v>
      </c>
      <c r="F124">
        <v>1193.5</v>
      </c>
      <c r="G124">
        <v>52.5</v>
      </c>
      <c r="H124">
        <v>96569</v>
      </c>
      <c r="I124">
        <v>1.5502499999999999</v>
      </c>
      <c r="J124">
        <v>1.90406481481481</v>
      </c>
      <c r="K124">
        <v>0.1105</v>
      </c>
      <c r="L124">
        <v>0.1341</v>
      </c>
      <c r="M124">
        <v>9.7900000000000001E-2</v>
      </c>
      <c r="N124">
        <v>2.6289087000000002</v>
      </c>
      <c r="O124">
        <f>Table1[[#This Row],[gas_exp]]/Table1[[#This Row],[gasoline_price]]</f>
        <v>1566.5215287856797</v>
      </c>
      <c r="P124">
        <f>Table1[[#This Row],[oil_exp]]/Table1[[#This Row],[heating_oil_price]]</f>
        <v>27.572590802328421</v>
      </c>
      <c r="S124">
        <v>368.81938840454899</v>
      </c>
      <c r="T124">
        <v>657.442346705006</v>
      </c>
      <c r="U124">
        <v>539</v>
      </c>
      <c r="V124">
        <v>809</v>
      </c>
      <c r="W124">
        <v>1079</v>
      </c>
      <c r="X124">
        <v>592.9</v>
      </c>
      <c r="Y124">
        <v>889.9</v>
      </c>
      <c r="Z124">
        <v>1186.9000000000001</v>
      </c>
      <c r="AA124">
        <v>118.442346705006</v>
      </c>
      <c r="AB124">
        <v>-151.557653294993</v>
      </c>
      <c r="AC124">
        <v>-421.55765329499297</v>
      </c>
      <c r="AD124">
        <v>64.542346705006594</v>
      </c>
      <c r="AE124">
        <v>-232.45765329499301</v>
      </c>
      <c r="AF124">
        <v>-529.45765329499295</v>
      </c>
      <c r="AG124">
        <v>3.81923172451355E-3</v>
      </c>
      <c r="AH124">
        <v>6.8080061583427999E-3</v>
      </c>
      <c r="AI124">
        <v>1.22650484839862E-3</v>
      </c>
      <c r="AJ124">
        <v>-1.5694234515734101E-3</v>
      </c>
      <c r="AK124">
        <v>-4.36535175154545E-3</v>
      </c>
      <c r="AL124">
        <v>6.6835471740420399E-4</v>
      </c>
      <c r="AM124">
        <v>-2.4071664125650399E-3</v>
      </c>
      <c r="AN124">
        <v>-5.4826875425342796E-3</v>
      </c>
    </row>
    <row r="125" spans="1:40" x14ac:dyDescent="0.2">
      <c r="A125" t="s">
        <v>44</v>
      </c>
      <c r="B125">
        <v>2023</v>
      </c>
      <c r="C125" t="s">
        <v>39</v>
      </c>
      <c r="D125">
        <v>280407</v>
      </c>
      <c r="E125">
        <v>2919</v>
      </c>
      <c r="F125">
        <v>1435</v>
      </c>
      <c r="G125">
        <v>60</v>
      </c>
      <c r="H125">
        <v>105772</v>
      </c>
      <c r="I125">
        <v>1.3554166666666601</v>
      </c>
      <c r="J125">
        <v>1.7136805555555501</v>
      </c>
      <c r="K125">
        <v>0.1431</v>
      </c>
      <c r="L125">
        <v>0.17380000000000001</v>
      </c>
      <c r="M125">
        <v>0.1239</v>
      </c>
      <c r="N125">
        <v>3.3270867000000002</v>
      </c>
      <c r="O125">
        <f>Table1[[#This Row],[gas_exp]]/Table1[[#This Row],[gasoline_price]]</f>
        <v>2153.5813095604162</v>
      </c>
      <c r="P125">
        <f>Table1[[#This Row],[oil_exp]]/Table1[[#This Row],[heating_oil_price]]</f>
        <v>35.012359687158195</v>
      </c>
      <c r="S125">
        <v>606.45404167912204</v>
      </c>
      <c r="T125">
        <v>940.43425892248297</v>
      </c>
      <c r="U125">
        <v>772</v>
      </c>
      <c r="V125">
        <v>1158</v>
      </c>
      <c r="W125">
        <v>1544</v>
      </c>
      <c r="X125">
        <v>849.2</v>
      </c>
      <c r="Y125">
        <v>1273.8</v>
      </c>
      <c r="Z125">
        <v>1698.4</v>
      </c>
      <c r="AA125">
        <v>168.434258922482</v>
      </c>
      <c r="AB125">
        <v>-217.565741077517</v>
      </c>
      <c r="AC125">
        <v>-603.56574107751703</v>
      </c>
      <c r="AD125">
        <v>91.234258922482894</v>
      </c>
      <c r="AE125">
        <v>-333.36574107751699</v>
      </c>
      <c r="AF125">
        <v>-757.96574107751701</v>
      </c>
      <c r="AG125">
        <v>5.7335971871489803E-3</v>
      </c>
      <c r="AH125">
        <v>8.8911456616352393E-3</v>
      </c>
      <c r="AI125">
        <v>1.5924276644337101E-3</v>
      </c>
      <c r="AJ125">
        <v>-2.0569313341670401E-3</v>
      </c>
      <c r="AK125">
        <v>-5.70629033276781E-3</v>
      </c>
      <c r="AL125">
        <v>8.6255586471356202E-4</v>
      </c>
      <c r="AM125">
        <v>-3.1517390337472699E-3</v>
      </c>
      <c r="AN125">
        <v>-7.1660339322081098E-3</v>
      </c>
    </row>
    <row r="126" spans="1:40" x14ac:dyDescent="0.2">
      <c r="A126" t="s">
        <v>44</v>
      </c>
      <c r="B126">
        <v>2024</v>
      </c>
      <c r="C126" t="s">
        <v>39</v>
      </c>
      <c r="D126">
        <v>267815</v>
      </c>
      <c r="E126">
        <v>2919</v>
      </c>
      <c r="F126">
        <v>1435</v>
      </c>
      <c r="G126">
        <v>60</v>
      </c>
      <c r="H126">
        <v>105772</v>
      </c>
      <c r="I126">
        <v>1.4460833333333301</v>
      </c>
      <c r="J126">
        <v>1.47389351851851</v>
      </c>
      <c r="K126">
        <v>0.17610000000000001</v>
      </c>
      <c r="L126">
        <v>0.21390000000000001</v>
      </c>
      <c r="M126">
        <v>0.1525</v>
      </c>
      <c r="N126">
        <v>4.0950825000000002</v>
      </c>
      <c r="O126">
        <f>Table1[[#This Row],[gas_exp]]/Table1[[#This Row],[gasoline_price]]</f>
        <v>2018.5558693021426</v>
      </c>
      <c r="P126">
        <f>Table1[[#This Row],[oil_exp]]/Table1[[#This Row],[heating_oil_price]]</f>
        <v>40.708503868250432</v>
      </c>
      <c r="S126">
        <v>723.81357287652497</v>
      </c>
      <c r="T126">
        <v>954.60923029417302</v>
      </c>
      <c r="U126">
        <v>900</v>
      </c>
      <c r="V126">
        <v>1350</v>
      </c>
      <c r="W126">
        <v>1800</v>
      </c>
      <c r="X126">
        <v>1080</v>
      </c>
      <c r="Y126">
        <v>1620</v>
      </c>
      <c r="Z126">
        <v>2160</v>
      </c>
      <c r="AA126">
        <v>54.609230294173301</v>
      </c>
      <c r="AB126">
        <v>-395.39076970582602</v>
      </c>
      <c r="AC126">
        <v>-845.39076970582596</v>
      </c>
      <c r="AD126">
        <v>-125.390769705826</v>
      </c>
      <c r="AE126">
        <v>-665.39076970582596</v>
      </c>
      <c r="AF126">
        <v>-1205.39076970582</v>
      </c>
      <c r="AG126">
        <v>6.8431491592909699E-3</v>
      </c>
      <c r="AH126">
        <v>9.0251600640450496E-3</v>
      </c>
      <c r="AI126">
        <v>5.16291932592494E-4</v>
      </c>
      <c r="AJ126">
        <v>-3.7381421331337799E-3</v>
      </c>
      <c r="AK126">
        <v>-7.9925761988600599E-3</v>
      </c>
      <c r="AL126">
        <v>-1.18548169369801E-3</v>
      </c>
      <c r="AM126">
        <v>-6.2908025725695498E-3</v>
      </c>
      <c r="AN126">
        <v>-1.1396123451441E-2</v>
      </c>
    </row>
    <row r="127" spans="1:40" x14ac:dyDescent="0.2">
      <c r="A127" t="s">
        <v>44</v>
      </c>
      <c r="B127">
        <v>2025</v>
      </c>
      <c r="C127" t="s">
        <v>39</v>
      </c>
      <c r="D127">
        <v>267815</v>
      </c>
      <c r="E127">
        <v>2919</v>
      </c>
      <c r="F127">
        <v>1435</v>
      </c>
      <c r="G127">
        <v>60</v>
      </c>
      <c r="H127">
        <v>105772</v>
      </c>
      <c r="I127">
        <v>1.3190833333333301</v>
      </c>
      <c r="J127">
        <v>1.3772731481481399</v>
      </c>
      <c r="K127">
        <v>0</v>
      </c>
      <c r="L127">
        <v>0</v>
      </c>
      <c r="M127">
        <v>0</v>
      </c>
      <c r="N127">
        <v>0</v>
      </c>
      <c r="O127">
        <f>Table1[[#This Row],[gas_exp]]/Table1[[#This Row],[gasoline_price]]</f>
        <v>2212.9003727335958</v>
      </c>
      <c r="P127">
        <f>Table1[[#This Row],[oil_exp]]/Table1[[#This Row],[heating_oil_price]]</f>
        <v>43.564343122985491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</row>
    <row r="128" spans="1:40" x14ac:dyDescent="0.2">
      <c r="A128" t="s">
        <v>44</v>
      </c>
      <c r="B128">
        <v>2019</v>
      </c>
      <c r="C128" t="s">
        <v>40</v>
      </c>
      <c r="D128">
        <v>351339</v>
      </c>
      <c r="E128">
        <v>3804</v>
      </c>
      <c r="F128">
        <v>1167</v>
      </c>
      <c r="G128">
        <v>46</v>
      </c>
      <c r="H128">
        <v>125637</v>
      </c>
      <c r="I128">
        <v>1.0416666666666601</v>
      </c>
      <c r="J128">
        <v>1.1994166666666599</v>
      </c>
      <c r="K128">
        <v>0</v>
      </c>
      <c r="L128">
        <v>0</v>
      </c>
      <c r="M128">
        <v>0</v>
      </c>
      <c r="N128">
        <v>0</v>
      </c>
      <c r="O128">
        <f>Table1[[#This Row],[gas_exp]]/Table1[[#This Row],[gasoline_price]]</f>
        <v>3651.8400000000229</v>
      </c>
      <c r="P128">
        <f>Table1[[#This Row],[oil_exp]]/Table1[[#This Row],[heating_oil_price]]</f>
        <v>38.351976655318772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</row>
    <row r="129" spans="1:40" x14ac:dyDescent="0.2">
      <c r="A129" t="s">
        <v>44</v>
      </c>
      <c r="B129">
        <v>2020</v>
      </c>
      <c r="C129" t="s">
        <v>40</v>
      </c>
      <c r="D129">
        <v>362951</v>
      </c>
      <c r="E129">
        <v>3145</v>
      </c>
      <c r="F129">
        <v>1249.5</v>
      </c>
      <c r="G129">
        <v>62.5</v>
      </c>
      <c r="H129">
        <v>124584</v>
      </c>
      <c r="I129">
        <v>0.92125000000000001</v>
      </c>
      <c r="J129">
        <v>1.01843055555555</v>
      </c>
      <c r="K129">
        <v>6.6299999999999998E-2</v>
      </c>
      <c r="L129">
        <v>8.0500000000000002E-2</v>
      </c>
      <c r="M129">
        <v>5.8700000000000002E-2</v>
      </c>
      <c r="N129">
        <v>1.5762711</v>
      </c>
      <c r="O129">
        <f>Table1[[#This Row],[gas_exp]]/Table1[[#This Row],[gasoline_price]]</f>
        <v>3413.8398914518316</v>
      </c>
      <c r="P129">
        <f>Table1[[#This Row],[oil_exp]]/Table1[[#This Row],[heating_oil_price]]</f>
        <v>61.368936408144677</v>
      </c>
      <c r="S129">
        <v>351.81428943845202</v>
      </c>
      <c r="T129">
        <v>735.88691004446696</v>
      </c>
      <c r="U129">
        <v>444</v>
      </c>
      <c r="V129">
        <v>666</v>
      </c>
      <c r="W129">
        <v>888</v>
      </c>
      <c r="X129">
        <v>488.4</v>
      </c>
      <c r="Y129">
        <v>732.6</v>
      </c>
      <c r="Z129">
        <v>976.8</v>
      </c>
      <c r="AA129">
        <v>291.88691004446702</v>
      </c>
      <c r="AB129">
        <v>69.886910044467498</v>
      </c>
      <c r="AC129">
        <v>-152.11308995553199</v>
      </c>
      <c r="AD129">
        <v>247.48691004446701</v>
      </c>
      <c r="AE129">
        <v>3.2869100444675001</v>
      </c>
      <c r="AF129">
        <v>-240.913089955532</v>
      </c>
      <c r="AG129">
        <v>2.82391229562746E-3</v>
      </c>
      <c r="AH129">
        <v>5.9067529541872704E-3</v>
      </c>
      <c r="AI129">
        <v>2.3428924263506302E-3</v>
      </c>
      <c r="AJ129">
        <v>5.6096216243231405E-4</v>
      </c>
      <c r="AK129">
        <v>-1.220968101486E-3</v>
      </c>
      <c r="AL129">
        <v>1.9865063735669702E-3</v>
      </c>
      <c r="AM129" s="1">
        <v>2.6383083256818701E-5</v>
      </c>
      <c r="AN129">
        <v>-1.93374020705333E-3</v>
      </c>
    </row>
    <row r="130" spans="1:40" x14ac:dyDescent="0.2">
      <c r="A130" t="s">
        <v>44</v>
      </c>
      <c r="B130">
        <v>2021</v>
      </c>
      <c r="C130" t="s">
        <v>40</v>
      </c>
      <c r="D130">
        <v>374880</v>
      </c>
      <c r="E130">
        <v>2486</v>
      </c>
      <c r="F130">
        <v>1332</v>
      </c>
      <c r="G130">
        <v>79</v>
      </c>
      <c r="H130">
        <v>123531</v>
      </c>
      <c r="I130">
        <v>1.2632083333333299</v>
      </c>
      <c r="J130">
        <v>1.24137037037037</v>
      </c>
      <c r="K130">
        <v>8.8400000000000006E-2</v>
      </c>
      <c r="L130">
        <v>0.10730000000000001</v>
      </c>
      <c r="M130">
        <v>7.8299999999999995E-2</v>
      </c>
      <c r="N130">
        <v>2.1025898999999999</v>
      </c>
      <c r="O130">
        <f>Table1[[#This Row],[gas_exp]]/Table1[[#This Row],[gasoline_price]]</f>
        <v>1968.0047498103427</v>
      </c>
      <c r="P130">
        <f>Table1[[#This Row],[oil_exp]]/Table1[[#This Row],[heating_oil_price]]</f>
        <v>63.639347196944854</v>
      </c>
      <c r="S130">
        <v>352.19988634162598</v>
      </c>
      <c r="T130">
        <v>682.25528114378699</v>
      </c>
      <c r="U130">
        <v>490</v>
      </c>
      <c r="V130">
        <v>735</v>
      </c>
      <c r="W130">
        <v>981</v>
      </c>
      <c r="X130">
        <v>539</v>
      </c>
      <c r="Y130">
        <v>808.5</v>
      </c>
      <c r="Z130">
        <v>1079.0999999999999</v>
      </c>
      <c r="AA130">
        <v>192.25528114378699</v>
      </c>
      <c r="AB130">
        <v>-52.744718856212401</v>
      </c>
      <c r="AC130">
        <v>-298.74471885621199</v>
      </c>
      <c r="AD130">
        <v>143.25528114378699</v>
      </c>
      <c r="AE130">
        <v>-126.244718856212</v>
      </c>
      <c r="AF130">
        <v>-396.84471885621201</v>
      </c>
      <c r="AG130">
        <v>2.8511052799833699E-3</v>
      </c>
      <c r="AH130">
        <v>5.5229479332619897E-3</v>
      </c>
      <c r="AI130">
        <v>1.55633226593962E-3</v>
      </c>
      <c r="AJ130">
        <v>-4.2697556772156302E-4</v>
      </c>
      <c r="AK130">
        <v>-2.4183785353976898E-3</v>
      </c>
      <c r="AL130">
        <v>1.1596706992073799E-3</v>
      </c>
      <c r="AM130">
        <v>-1.02196791781992E-3</v>
      </c>
      <c r="AN130">
        <v>-3.2125111822636598E-3</v>
      </c>
    </row>
    <row r="131" spans="1:40" x14ac:dyDescent="0.2">
      <c r="A131" t="s">
        <v>44</v>
      </c>
      <c r="B131">
        <v>2022</v>
      </c>
      <c r="C131" t="s">
        <v>40</v>
      </c>
      <c r="D131">
        <v>361048</v>
      </c>
      <c r="E131">
        <v>3069</v>
      </c>
      <c r="F131">
        <v>1340.5</v>
      </c>
      <c r="G131">
        <v>73</v>
      </c>
      <c r="H131">
        <v>126419</v>
      </c>
      <c r="I131">
        <v>1.5502499999999999</v>
      </c>
      <c r="J131">
        <v>1.90406481481481</v>
      </c>
      <c r="K131">
        <v>0.1105</v>
      </c>
      <c r="L131">
        <v>0.1341</v>
      </c>
      <c r="M131">
        <v>9.7900000000000001E-2</v>
      </c>
      <c r="N131">
        <v>2.6289087000000002</v>
      </c>
      <c r="O131">
        <f>Table1[[#This Row],[gas_exp]]/Table1[[#This Row],[gasoline_price]]</f>
        <v>1979.680696661829</v>
      </c>
      <c r="P131">
        <f>Table1[[#This Row],[oil_exp]]/Table1[[#This Row],[heating_oil_price]]</f>
        <v>38.339031020380475</v>
      </c>
      <c r="S131">
        <v>439.56797031678502</v>
      </c>
      <c r="T131">
        <v>783.55587321899804</v>
      </c>
      <c r="U131">
        <v>539</v>
      </c>
      <c r="V131">
        <v>809</v>
      </c>
      <c r="W131">
        <v>1079</v>
      </c>
      <c r="X131">
        <v>592.9</v>
      </c>
      <c r="Y131">
        <v>889.9</v>
      </c>
      <c r="Z131">
        <v>1186.9000000000001</v>
      </c>
      <c r="AA131">
        <v>244.55587321899799</v>
      </c>
      <c r="AB131">
        <v>-25.444126781001799</v>
      </c>
      <c r="AC131">
        <v>-295.44412678100099</v>
      </c>
      <c r="AD131">
        <v>190.65587321899801</v>
      </c>
      <c r="AE131">
        <v>-106.34412678100099</v>
      </c>
      <c r="AF131">
        <v>-403.34412678100102</v>
      </c>
      <c r="AG131">
        <v>3.47707204072793E-3</v>
      </c>
      <c r="AH131">
        <v>6.1980863099612999E-3</v>
      </c>
      <c r="AI131">
        <v>1.9344866928151399E-3</v>
      </c>
      <c r="AJ131">
        <v>-2.01268217443595E-4</v>
      </c>
      <c r="AK131">
        <v>-2.3370231277023302E-3</v>
      </c>
      <c r="AL131">
        <v>1.50812673110053E-3</v>
      </c>
      <c r="AM131">
        <v>-8.4120367018408499E-4</v>
      </c>
      <c r="AN131">
        <v>-3.1905340714687E-3</v>
      </c>
    </row>
    <row r="132" spans="1:40" x14ac:dyDescent="0.2">
      <c r="A132" t="s">
        <v>44</v>
      </c>
      <c r="B132">
        <v>2023</v>
      </c>
      <c r="C132" t="s">
        <v>40</v>
      </c>
      <c r="D132">
        <v>403911</v>
      </c>
      <c r="E132">
        <v>3652</v>
      </c>
      <c r="F132">
        <v>1349</v>
      </c>
      <c r="G132">
        <v>67</v>
      </c>
      <c r="H132">
        <v>129307</v>
      </c>
      <c r="I132">
        <v>1.3554166666666601</v>
      </c>
      <c r="J132">
        <v>1.7136805555555501</v>
      </c>
      <c r="K132">
        <v>0.1431</v>
      </c>
      <c r="L132">
        <v>0.17380000000000001</v>
      </c>
      <c r="M132">
        <v>0.1239</v>
      </c>
      <c r="N132">
        <v>3.3270867000000002</v>
      </c>
      <c r="O132">
        <f>Table1[[#This Row],[gas_exp]]/Table1[[#This Row],[gasoline_price]]</f>
        <v>2694.3744236089897</v>
      </c>
      <c r="P132">
        <f>Table1[[#This Row],[oil_exp]]/Table1[[#This Row],[heating_oil_price]]</f>
        <v>39.097134983993314</v>
      </c>
      <c r="S132">
        <v>667.04034752662199</v>
      </c>
      <c r="T132">
        <v>1034.3860404668601</v>
      </c>
      <c r="U132">
        <v>772</v>
      </c>
      <c r="V132">
        <v>1158</v>
      </c>
      <c r="W132">
        <v>1544</v>
      </c>
      <c r="X132">
        <v>849.2</v>
      </c>
      <c r="Y132">
        <v>1273.8</v>
      </c>
      <c r="Z132">
        <v>1698.4</v>
      </c>
      <c r="AA132">
        <v>262.38604046686498</v>
      </c>
      <c r="AB132">
        <v>-123.61395953313399</v>
      </c>
      <c r="AC132">
        <v>-509.61395953313399</v>
      </c>
      <c r="AD132">
        <v>185.18604046686499</v>
      </c>
      <c r="AE132">
        <v>-239.413959533134</v>
      </c>
      <c r="AF132">
        <v>-664.01395953313397</v>
      </c>
      <c r="AG132">
        <v>5.1585787894438996E-3</v>
      </c>
      <c r="AH132">
        <v>7.99945896561567E-3</v>
      </c>
      <c r="AI132">
        <v>2.0291712008388202E-3</v>
      </c>
      <c r="AJ132">
        <v>-9.5597268154959999E-4</v>
      </c>
      <c r="AK132">
        <v>-3.9411165639380201E-3</v>
      </c>
      <c r="AL132">
        <v>1.43214242436113E-3</v>
      </c>
      <c r="AM132">
        <v>-1.8515158462661201E-3</v>
      </c>
      <c r="AN132">
        <v>-5.1351741168933901E-3</v>
      </c>
    </row>
    <row r="133" spans="1:40" x14ac:dyDescent="0.2">
      <c r="A133" t="s">
        <v>44</v>
      </c>
      <c r="B133">
        <v>2024</v>
      </c>
      <c r="C133" t="s">
        <v>40</v>
      </c>
      <c r="D133">
        <v>430406</v>
      </c>
      <c r="E133">
        <v>3652</v>
      </c>
      <c r="F133">
        <v>1349</v>
      </c>
      <c r="G133">
        <v>67</v>
      </c>
      <c r="H133">
        <v>129307</v>
      </c>
      <c r="I133">
        <v>1.4460833333333301</v>
      </c>
      <c r="J133">
        <v>1.47389351851851</v>
      </c>
      <c r="K133">
        <v>0.17610000000000001</v>
      </c>
      <c r="L133">
        <v>0.21390000000000001</v>
      </c>
      <c r="M133">
        <v>0.1525</v>
      </c>
      <c r="N133">
        <v>4.0950825000000002</v>
      </c>
      <c r="O133">
        <f>Table1[[#This Row],[gas_exp]]/Table1[[#This Row],[gasoline_price]]</f>
        <v>2525.442286636322</v>
      </c>
      <c r="P133">
        <f>Table1[[#This Row],[oil_exp]]/Table1[[#This Row],[heating_oil_price]]</f>
        <v>45.457829319546313</v>
      </c>
      <c r="S133">
        <v>792.53891346910598</v>
      </c>
      <c r="T133">
        <v>1045.2483768137099</v>
      </c>
      <c r="U133">
        <v>900</v>
      </c>
      <c r="V133">
        <v>1350</v>
      </c>
      <c r="W133">
        <v>1800</v>
      </c>
      <c r="X133">
        <v>1080</v>
      </c>
      <c r="Y133">
        <v>1620</v>
      </c>
      <c r="Z133">
        <v>2160</v>
      </c>
      <c r="AA133">
        <v>145.248376813715</v>
      </c>
      <c r="AB133">
        <v>-304.75162318628401</v>
      </c>
      <c r="AC133">
        <v>-754.75162318628395</v>
      </c>
      <c r="AD133">
        <v>-34.751623186284398</v>
      </c>
      <c r="AE133">
        <v>-574.75162318628395</v>
      </c>
      <c r="AF133">
        <v>-1114.7516231862801</v>
      </c>
      <c r="AG133">
        <v>6.1291261375571804E-3</v>
      </c>
      <c r="AH133">
        <v>8.08346320627433E-3</v>
      </c>
      <c r="AI133">
        <v>1.1232831696173799E-3</v>
      </c>
      <c r="AJ133">
        <v>-2.3568068487110801E-3</v>
      </c>
      <c r="AK133">
        <v>-5.8368968670395602E-3</v>
      </c>
      <c r="AL133">
        <v>-2.6875283771400101E-4</v>
      </c>
      <c r="AM133">
        <v>-4.4448608597081702E-3</v>
      </c>
      <c r="AN133">
        <v>-8.6209688817023393E-3</v>
      </c>
    </row>
    <row r="134" spans="1:40" x14ac:dyDescent="0.2">
      <c r="A134" t="s">
        <v>44</v>
      </c>
      <c r="B134">
        <v>2025</v>
      </c>
      <c r="C134" t="s">
        <v>40</v>
      </c>
      <c r="D134">
        <v>430406</v>
      </c>
      <c r="E134">
        <v>3652</v>
      </c>
      <c r="F134">
        <v>1349</v>
      </c>
      <c r="G134">
        <v>67</v>
      </c>
      <c r="H134">
        <v>129307</v>
      </c>
      <c r="I134">
        <v>1.3190833333333301</v>
      </c>
      <c r="J134">
        <v>1.3772731481481399</v>
      </c>
      <c r="K134">
        <v>0</v>
      </c>
      <c r="L134">
        <v>0</v>
      </c>
      <c r="M134">
        <v>0</v>
      </c>
      <c r="N134">
        <v>0</v>
      </c>
      <c r="O134">
        <f>Table1[[#This Row],[gas_exp]]/Table1[[#This Row],[gasoline_price]]</f>
        <v>2768.5892981237039</v>
      </c>
      <c r="P134">
        <f>Table1[[#This Row],[oil_exp]]/Table1[[#This Row],[heating_oil_price]]</f>
        <v>48.646849820667136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</row>
    <row r="135" spans="1:40" x14ac:dyDescent="0.2">
      <c r="A135" t="s">
        <v>44</v>
      </c>
      <c r="B135">
        <v>2019</v>
      </c>
      <c r="C135" t="s">
        <v>41</v>
      </c>
      <c r="D135">
        <v>566337</v>
      </c>
      <c r="E135">
        <v>2608</v>
      </c>
      <c r="F135">
        <v>1447</v>
      </c>
      <c r="G135">
        <v>38</v>
      </c>
      <c r="H135">
        <v>221396</v>
      </c>
      <c r="I135">
        <v>1.0416666666666601</v>
      </c>
      <c r="J135">
        <v>1.1994166666666599</v>
      </c>
      <c r="K135">
        <v>0</v>
      </c>
      <c r="L135">
        <v>0</v>
      </c>
      <c r="M135">
        <v>0</v>
      </c>
      <c r="N135">
        <v>0</v>
      </c>
      <c r="O135">
        <f>Table1[[#This Row],[gas_exp]]/Table1[[#This Row],[gasoline_price]]</f>
        <v>2503.6800000000158</v>
      </c>
      <c r="P135">
        <f>Table1[[#This Row],[oil_exp]]/Table1[[#This Row],[heating_oil_price]]</f>
        <v>31.682067671785074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</row>
    <row r="136" spans="1:40" x14ac:dyDescent="0.2">
      <c r="A136" t="s">
        <v>44</v>
      </c>
      <c r="B136">
        <v>2020</v>
      </c>
      <c r="C136" t="s">
        <v>41</v>
      </c>
      <c r="D136">
        <v>564635</v>
      </c>
      <c r="E136">
        <v>2682.5</v>
      </c>
      <c r="F136">
        <v>1466.5</v>
      </c>
      <c r="G136">
        <v>69.5</v>
      </c>
      <c r="H136">
        <v>207955.5</v>
      </c>
      <c r="I136">
        <v>0.92125000000000001</v>
      </c>
      <c r="J136">
        <v>1.01843055555555</v>
      </c>
      <c r="K136">
        <v>6.6299999999999998E-2</v>
      </c>
      <c r="L136">
        <v>8.0500000000000002E-2</v>
      </c>
      <c r="M136">
        <v>5.8700000000000002E-2</v>
      </c>
      <c r="N136">
        <v>1.5762711</v>
      </c>
      <c r="O136">
        <f>Table1[[#This Row],[gas_exp]]/Table1[[#This Row],[gasoline_price]]</f>
        <v>2911.8046132971504</v>
      </c>
      <c r="P136">
        <f>Table1[[#This Row],[oil_exp]]/Table1[[#This Row],[heating_oil_price]]</f>
        <v>68.24225728585688</v>
      </c>
      <c r="S136">
        <v>340.01616354389199</v>
      </c>
      <c r="T136">
        <v>711.208872029806</v>
      </c>
      <c r="U136">
        <v>444</v>
      </c>
      <c r="V136">
        <v>666</v>
      </c>
      <c r="W136">
        <v>888</v>
      </c>
      <c r="X136">
        <v>488.4</v>
      </c>
      <c r="Y136">
        <v>732.6</v>
      </c>
      <c r="Z136">
        <v>976.8</v>
      </c>
      <c r="AA136">
        <v>267.208872029806</v>
      </c>
      <c r="AB136">
        <v>45.2088720298065</v>
      </c>
      <c r="AC136">
        <v>-176.791127970193</v>
      </c>
      <c r="AD136">
        <v>222.808872029806</v>
      </c>
      <c r="AE136">
        <v>-21.391127970193399</v>
      </c>
      <c r="AF136">
        <v>-265.59112797019299</v>
      </c>
      <c r="AG136">
        <v>1.6350428988119599E-3</v>
      </c>
      <c r="AH136">
        <v>3.4200051070051299E-3</v>
      </c>
      <c r="AI136">
        <v>1.2849329401232699E-3</v>
      </c>
      <c r="AJ136">
        <v>2.1739685668234999E-4</v>
      </c>
      <c r="AK136">
        <v>-8.5013922675857695E-4</v>
      </c>
      <c r="AL136">
        <v>1.07142572343509E-3</v>
      </c>
      <c r="AM136">
        <v>-1.02863968349928E-4</v>
      </c>
      <c r="AN136">
        <v>-1.27715366013494E-3</v>
      </c>
    </row>
    <row r="137" spans="1:40" x14ac:dyDescent="0.2">
      <c r="A137" t="s">
        <v>44</v>
      </c>
      <c r="B137">
        <v>2021</v>
      </c>
      <c r="C137" t="s">
        <v>41</v>
      </c>
      <c r="D137">
        <v>587757</v>
      </c>
      <c r="E137">
        <v>2757</v>
      </c>
      <c r="F137">
        <v>1486</v>
      </c>
      <c r="G137">
        <v>101</v>
      </c>
      <c r="H137">
        <v>194515</v>
      </c>
      <c r="I137">
        <v>1.2632083333333299</v>
      </c>
      <c r="J137">
        <v>1.24137037037037</v>
      </c>
      <c r="K137">
        <v>8.8400000000000006E-2</v>
      </c>
      <c r="L137">
        <v>0.10730000000000001</v>
      </c>
      <c r="M137">
        <v>7.8299999999999995E-2</v>
      </c>
      <c r="N137">
        <v>2.1025898999999999</v>
      </c>
      <c r="O137">
        <f>Table1[[#This Row],[gas_exp]]/Table1[[#This Row],[gasoline_price]]</f>
        <v>2182.5378500511324</v>
      </c>
      <c r="P137">
        <f>Table1[[#This Row],[oil_exp]]/Table1[[#This Row],[heating_oil_price]]</f>
        <v>81.361697049258609</v>
      </c>
      <c r="S137">
        <v>392.88270983158498</v>
      </c>
      <c r="T137">
        <v>761.06300441188102</v>
      </c>
      <c r="U137">
        <v>490</v>
      </c>
      <c r="V137">
        <v>735</v>
      </c>
      <c r="W137">
        <v>981</v>
      </c>
      <c r="X137">
        <v>539</v>
      </c>
      <c r="Y137">
        <v>808.5</v>
      </c>
      <c r="Z137">
        <v>1079.0999999999999</v>
      </c>
      <c r="AA137">
        <v>271.06300441188102</v>
      </c>
      <c r="AB137">
        <v>26.063004411881501</v>
      </c>
      <c r="AC137">
        <v>-219.93699558811801</v>
      </c>
      <c r="AD137">
        <v>222.063004411881</v>
      </c>
      <c r="AE137">
        <v>-47.436995588118499</v>
      </c>
      <c r="AF137">
        <v>-318.03699558811797</v>
      </c>
      <c r="AG137">
        <v>2.0198067492562702E-3</v>
      </c>
      <c r="AH137">
        <v>3.9126185868024596E-3</v>
      </c>
      <c r="AI137">
        <v>1.39353265512624E-3</v>
      </c>
      <c r="AJ137">
        <v>1.33989689288135E-4</v>
      </c>
      <c r="AK137">
        <v>-1.1306942682472699E-3</v>
      </c>
      <c r="AL137">
        <v>1.14162406195862E-3</v>
      </c>
      <c r="AM137">
        <v>-2.4387320046329801E-4</v>
      </c>
      <c r="AN137">
        <v>-1.63502555375224E-3</v>
      </c>
    </row>
    <row r="138" spans="1:40" x14ac:dyDescent="0.2">
      <c r="A138" t="s">
        <v>44</v>
      </c>
      <c r="B138">
        <v>2022</v>
      </c>
      <c r="C138" t="s">
        <v>41</v>
      </c>
      <c r="D138">
        <v>596608</v>
      </c>
      <c r="E138">
        <v>3607.5</v>
      </c>
      <c r="F138">
        <v>1705.5</v>
      </c>
      <c r="G138">
        <v>86.5</v>
      </c>
      <c r="H138">
        <v>217182</v>
      </c>
      <c r="I138">
        <v>1.5502499999999999</v>
      </c>
      <c r="J138">
        <v>1.90406481481481</v>
      </c>
      <c r="K138">
        <v>0.1105</v>
      </c>
      <c r="L138">
        <v>0.1341</v>
      </c>
      <c r="M138">
        <v>9.7900000000000001E-2</v>
      </c>
      <c r="N138">
        <v>2.6289087000000002</v>
      </c>
      <c r="O138">
        <f>Table1[[#This Row],[gas_exp]]/Table1[[#This Row],[gasoline_price]]</f>
        <v>2327.0440251572327</v>
      </c>
      <c r="P138">
        <f>Table1[[#This Row],[oil_exp]]/Table1[[#This Row],[heating_oil_price]]</f>
        <v>45.429125798122065</v>
      </c>
      <c r="S138">
        <v>537.62696236582201</v>
      </c>
      <c r="T138">
        <v>958.35181908053403</v>
      </c>
      <c r="U138">
        <v>539</v>
      </c>
      <c r="V138">
        <v>809</v>
      </c>
      <c r="W138">
        <v>1079</v>
      </c>
      <c r="X138">
        <v>592.9</v>
      </c>
      <c r="Y138">
        <v>889.9</v>
      </c>
      <c r="Z138">
        <v>1186.9000000000001</v>
      </c>
      <c r="AA138">
        <v>419.35181908053403</v>
      </c>
      <c r="AB138">
        <v>149.351819080534</v>
      </c>
      <c r="AC138">
        <v>-120.64818091946501</v>
      </c>
      <c r="AD138">
        <v>365.45181908053399</v>
      </c>
      <c r="AE138">
        <v>68.451819080534705</v>
      </c>
      <c r="AF138">
        <v>-228.54818091946501</v>
      </c>
      <c r="AG138">
        <v>2.4754674069021399E-3</v>
      </c>
      <c r="AH138">
        <v>4.4126668834458399E-3</v>
      </c>
      <c r="AI138">
        <v>1.9308774165471101E-3</v>
      </c>
      <c r="AJ138">
        <v>6.8768046652362895E-4</v>
      </c>
      <c r="AK138">
        <v>-5.5551648349985304E-4</v>
      </c>
      <c r="AL138">
        <v>1.68269846985723E-3</v>
      </c>
      <c r="AM138">
        <v>3.15181824831407E-4</v>
      </c>
      <c r="AN138">
        <v>-1.05233482019442E-3</v>
      </c>
    </row>
    <row r="139" spans="1:40" x14ac:dyDescent="0.2">
      <c r="A139" t="s">
        <v>44</v>
      </c>
      <c r="B139">
        <v>2023</v>
      </c>
      <c r="C139" t="s">
        <v>41</v>
      </c>
      <c r="D139">
        <v>610125</v>
      </c>
      <c r="E139">
        <v>4458</v>
      </c>
      <c r="F139">
        <v>1925</v>
      </c>
      <c r="G139">
        <v>72</v>
      </c>
      <c r="H139">
        <v>239849</v>
      </c>
      <c r="I139">
        <v>1.3554166666666601</v>
      </c>
      <c r="J139">
        <v>1.7136805555555501</v>
      </c>
      <c r="K139">
        <v>0.1431</v>
      </c>
      <c r="L139">
        <v>0.17380000000000001</v>
      </c>
      <c r="M139">
        <v>0.1239</v>
      </c>
      <c r="N139">
        <v>3.3270867000000002</v>
      </c>
      <c r="O139">
        <f>Table1[[#This Row],[gas_exp]]/Table1[[#This Row],[gasoline_price]]</f>
        <v>3289.0255149093305</v>
      </c>
      <c r="P139">
        <f>Table1[[#This Row],[oil_exp]]/Table1[[#This Row],[heating_oil_price]]</f>
        <v>42.014831624589831</v>
      </c>
      <c r="S139">
        <v>869.92581304687599</v>
      </c>
      <c r="T139">
        <v>1349.0025312472701</v>
      </c>
      <c r="U139">
        <v>772</v>
      </c>
      <c r="V139">
        <v>1158</v>
      </c>
      <c r="W139">
        <v>1544</v>
      </c>
      <c r="X139">
        <v>849.2</v>
      </c>
      <c r="Y139">
        <v>1273.8</v>
      </c>
      <c r="Z139">
        <v>1698.4</v>
      </c>
      <c r="AA139">
        <v>577.00253124727703</v>
      </c>
      <c r="AB139">
        <v>191.00253124727701</v>
      </c>
      <c r="AC139">
        <v>-194.997468752722</v>
      </c>
      <c r="AD139">
        <v>499.80253124727699</v>
      </c>
      <c r="AE139">
        <v>75.202531247277605</v>
      </c>
      <c r="AF139">
        <v>-349.39746875272198</v>
      </c>
      <c r="AG139">
        <v>3.6269728581185502E-3</v>
      </c>
      <c r="AH139">
        <v>5.6243825542206796E-3</v>
      </c>
      <c r="AI139">
        <v>2.4056907939882001E-3</v>
      </c>
      <c r="AJ139">
        <v>7.9634491387196805E-4</v>
      </c>
      <c r="AK139">
        <v>-8.1300096624427104E-4</v>
      </c>
      <c r="AL139">
        <v>2.08382161796496E-3</v>
      </c>
      <c r="AM139">
        <v>3.1354114983709599E-4</v>
      </c>
      <c r="AN139">
        <v>-1.4567393182907599E-3</v>
      </c>
    </row>
    <row r="140" spans="1:40" x14ac:dyDescent="0.2">
      <c r="A140" t="s">
        <v>44</v>
      </c>
      <c r="B140">
        <v>2024</v>
      </c>
      <c r="C140" t="s">
        <v>41</v>
      </c>
      <c r="D140">
        <v>628458</v>
      </c>
      <c r="E140">
        <v>4458</v>
      </c>
      <c r="F140">
        <v>1925</v>
      </c>
      <c r="G140">
        <v>72</v>
      </c>
      <c r="H140">
        <v>239849</v>
      </c>
      <c r="I140">
        <v>1.4460833333333301</v>
      </c>
      <c r="J140">
        <v>1.47389351851851</v>
      </c>
      <c r="K140">
        <v>0.17610000000000001</v>
      </c>
      <c r="L140">
        <v>0.21390000000000001</v>
      </c>
      <c r="M140">
        <v>0.1525</v>
      </c>
      <c r="N140">
        <v>4.0950825000000002</v>
      </c>
      <c r="O140">
        <f>Table1[[#This Row],[gas_exp]]/Table1[[#This Row],[gasoline_price]]</f>
        <v>3082.8098887800452</v>
      </c>
      <c r="P140">
        <f>Table1[[#This Row],[oil_exp]]/Table1[[#This Row],[heating_oil_price]]</f>
        <v>48.850204641900511</v>
      </c>
      <c r="S140">
        <v>1035.7735495120601</v>
      </c>
      <c r="T140">
        <v>1366.0409640141499</v>
      </c>
      <c r="U140">
        <v>900</v>
      </c>
      <c r="V140">
        <v>1350</v>
      </c>
      <c r="W140">
        <v>1800</v>
      </c>
      <c r="X140">
        <v>1080</v>
      </c>
      <c r="Y140">
        <v>1620</v>
      </c>
      <c r="Z140">
        <v>2160</v>
      </c>
      <c r="AA140">
        <v>466.04096401415399</v>
      </c>
      <c r="AB140">
        <v>16.040964014154898</v>
      </c>
      <c r="AC140">
        <v>-433.95903598584499</v>
      </c>
      <c r="AD140">
        <v>286.04096401415399</v>
      </c>
      <c r="AE140">
        <v>-253.95903598584499</v>
      </c>
      <c r="AF140">
        <v>-793.95903598584505</v>
      </c>
      <c r="AG140">
        <v>4.3184401415560097E-3</v>
      </c>
      <c r="AH140">
        <v>5.6954207189279698E-3</v>
      </c>
      <c r="AI140">
        <v>1.9430598585533101E-3</v>
      </c>
      <c r="AJ140" s="1">
        <v>6.6879428365992506E-5</v>
      </c>
      <c r="AK140">
        <v>-1.8093010018213299E-3</v>
      </c>
      <c r="AL140">
        <v>1.1925876864783799E-3</v>
      </c>
      <c r="AM140">
        <v>-1.0588288297464E-3</v>
      </c>
      <c r="AN140">
        <v>-3.3102453459711899E-3</v>
      </c>
    </row>
    <row r="141" spans="1:40" x14ac:dyDescent="0.2">
      <c r="A141" t="s">
        <v>44</v>
      </c>
      <c r="B141">
        <v>2025</v>
      </c>
      <c r="C141" t="s">
        <v>41</v>
      </c>
      <c r="D141">
        <v>628458</v>
      </c>
      <c r="E141">
        <v>4458</v>
      </c>
      <c r="F141">
        <v>1925</v>
      </c>
      <c r="G141">
        <v>72</v>
      </c>
      <c r="H141">
        <v>239849</v>
      </c>
      <c r="I141">
        <v>1.3190833333333301</v>
      </c>
      <c r="J141">
        <v>1.3772731481481399</v>
      </c>
      <c r="K141">
        <v>0</v>
      </c>
      <c r="L141">
        <v>0</v>
      </c>
      <c r="M141">
        <v>0</v>
      </c>
      <c r="N141">
        <v>0</v>
      </c>
      <c r="O141">
        <f>Table1[[#This Row],[gas_exp]]/Table1[[#This Row],[gasoline_price]]</f>
        <v>3379.6196853875881</v>
      </c>
      <c r="P141">
        <f>Table1[[#This Row],[oil_exp]]/Table1[[#This Row],[heating_oil_price]]</f>
        <v>52.277211747582591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</row>
  </sheetData>
  <pageMargins left="0.75" right="0.75" top="1" bottom="1" header="0.5" footer="0.5"/>
  <tableParts count="1">
    <tablePart r:id="rId1"/>
  </tableParts>
</worksheet>
</file>

<file path=docMetadata/LabelInfo.xml><?xml version="1.0" encoding="utf-8"?>
<clbl:labelList xmlns:clbl="http://schemas.microsoft.com/office/2020/mipLabelMetadata">
  <clbl:label id="{1faf88fe-a998-4c5b-93c9-210a11d9a5c2}" enabled="0" method="" siteId="{1faf88fe-a998-4c5b-93c9-210a11d9a5c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ggppa_progressivity_results_v2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RSPUB</dc:creator>
  <cp:lastModifiedBy>RSPUB</cp:lastModifiedBy>
  <dcterms:created xsi:type="dcterms:W3CDTF">2026-02-09T14:39:10Z</dcterms:created>
  <dcterms:modified xsi:type="dcterms:W3CDTF">2026-02-09T14:53:24Z</dcterms:modified>
</cp:coreProperties>
</file>